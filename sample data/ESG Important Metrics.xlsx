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31"/>
  <workbookPr defaultThemeVersion="166925"/>
  <mc:AlternateContent xmlns:mc="http://schemas.openxmlformats.org/markup-compatibility/2006">
    <mc:Choice Requires="x15">
      <x15ac:absPath xmlns:x15ac="http://schemas.microsoft.com/office/spreadsheetml/2010/11/ac" url="https://nasdaq-my.sharepoint.com/personal/eugbor_nasdaq_com1/Documents/"/>
    </mc:Choice>
  </mc:AlternateContent>
  <xr:revisionPtr revIDLastSave="2563" documentId="8_{759338BA-F96B-4A82-9095-2C28FF8A0984}" xr6:coauthVersionLast="47" xr6:coauthVersionMax="47" xr10:uidLastSave="{1BFE78CD-199A-4905-B29C-E3E03BF71F9E}"/>
  <bookViews>
    <workbookView xWindow="0" yWindow="760" windowWidth="33120" windowHeight="21580" activeTab="2" xr2:uid="{70E39FBF-D480-436A-8B0D-C1C8E2404855}"/>
  </bookViews>
  <sheets>
    <sheet name="main" sheetId="1" r:id="rId1"/>
    <sheet name="WIP" sheetId="2" r:id="rId2"/>
    <sheet name="current_status" sheetId="13" r:id="rId3"/>
    <sheet name="important" sheetId="5" r:id="rId4"/>
    <sheet name="for_paper" sheetId="3" r:id="rId5"/>
    <sheet name="cfa_exam" sheetId="4" r:id="rId6"/>
    <sheet name="claude_test" sheetId="12" r:id="rId7"/>
    <sheet name="sasb_exam" sheetId="10" r:id="rId8"/>
    <sheet name="sasb_study_guide" sheetId="11" r:id="rId9"/>
    <sheet name="methodology tables" sheetId="6" r:id="rId10"/>
    <sheet name="LSIG-metrics" sheetId="8" r:id="rId11"/>
    <sheet name="data-collection-test" sheetId="9" r:id="rId12"/>
  </sheets>
  <definedNames>
    <definedName name="_xlnm._FilterDatabase" localSheetId="10" hidden="1">'LSIG-metrics'!$A$1:$A$67</definedName>
    <definedName name="_xlnm._FilterDatabase" localSheetId="0" hidden="1">main!$A$1:$E$1</definedName>
    <definedName name="_xlnm._FilterDatabase" localSheetId="1" hidden="1">WIP!$A$1:$E$78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9" i="2" l="1"/>
  <c r="E56" i="2"/>
  <c r="E54" i="2"/>
  <c r="E52" i="2"/>
  <c r="H2" i="1"/>
  <c r="G2" i="1"/>
  <c r="F2" i="1"/>
</calcChain>
</file>

<file path=xl/sharedStrings.xml><?xml version="1.0" encoding="utf-8"?>
<sst xmlns="http://schemas.openxmlformats.org/spreadsheetml/2006/main" count="1745" uniqueCount="947">
  <si>
    <t>Theme</t>
  </si>
  <si>
    <t>ESG Metrics</t>
  </si>
  <si>
    <t>ESG Metric Description</t>
  </si>
  <si>
    <t>Regulatory Framework</t>
  </si>
  <si>
    <t>October?</t>
  </si>
  <si>
    <t>Quantitative</t>
  </si>
  <si>
    <t>Yes/No</t>
  </si>
  <si>
    <t>Qualitative</t>
  </si>
  <si>
    <t>Environment</t>
  </si>
  <si>
    <t>Energy consumption</t>
  </si>
  <si>
    <t>TCFD, CSRD</t>
  </si>
  <si>
    <t>X</t>
  </si>
  <si>
    <t>Renewable energy consumption</t>
  </si>
  <si>
    <t>Pollution metrics related to air, water and soil, if relevant</t>
  </si>
  <si>
    <t>CSRD</t>
  </si>
  <si>
    <t>Targets related to Energy usage</t>
  </si>
  <si>
    <t>Water consumption</t>
  </si>
  <si>
    <t>Targets related to Water usage</t>
  </si>
  <si>
    <t>Waste generated</t>
  </si>
  <si>
    <t>Targets related to Waste</t>
  </si>
  <si>
    <t>Hazardous waste produced</t>
  </si>
  <si>
    <t xml:space="preserve"> </t>
  </si>
  <si>
    <t>GHG emissions</t>
  </si>
  <si>
    <t>Scope 1</t>
  </si>
  <si>
    <t>Scope 2 (market based)</t>
  </si>
  <si>
    <t>Scope 2 (location based)</t>
  </si>
  <si>
    <t>Scope 3 (total) and specified categories</t>
  </si>
  <si>
    <t>Deforestation impact policy</t>
  </si>
  <si>
    <t>Biodiversity impact policy</t>
  </si>
  <si>
    <t>GHG emissions reduction targets</t>
  </si>
  <si>
    <t>Science-based targets (SBTi)</t>
  </si>
  <si>
    <t>SBTi</t>
  </si>
  <si>
    <t>Physical and Transition Climate Risks &amp; Opp.</t>
  </si>
  <si>
    <t>Financial Impacts of Severe Weather Events</t>
  </si>
  <si>
    <t>Climate Scenario Analysis</t>
  </si>
  <si>
    <t>TCFD</t>
  </si>
  <si>
    <t>Board Oversight of Climate/Sustainability</t>
  </si>
  <si>
    <t>Management's Role in Climate/Sustainability oversight</t>
  </si>
  <si>
    <t>Climate Enterprise Risk Management (ERM) Integration</t>
  </si>
  <si>
    <t>Climate Transition Plan</t>
  </si>
  <si>
    <t>Circular Economy Policy</t>
  </si>
  <si>
    <t>Internal Carbon price disclosure</t>
  </si>
  <si>
    <t>SEC, TCFD</t>
  </si>
  <si>
    <t>Role of Carbon Offsets and/or RECs</t>
  </si>
  <si>
    <t>SEC</t>
  </si>
  <si>
    <t>Social</t>
  </si>
  <si>
    <t>Number of Employees</t>
  </si>
  <si>
    <t>Females in executive level positions</t>
  </si>
  <si>
    <t>Females in manager positions</t>
  </si>
  <si>
    <t>Female employees</t>
  </si>
  <si>
    <t>Employee turnover rate</t>
  </si>
  <si>
    <t>Incident Rate (TRIR)</t>
  </si>
  <si>
    <t>Average hours of training per year per employee</t>
  </si>
  <si>
    <t>Employee Training Disclosure Detail</t>
  </si>
  <si>
    <t>Community engagement policy</t>
  </si>
  <si>
    <t>Ethnic minorities in management level positions</t>
  </si>
  <si>
    <t>Ethnic minority employees</t>
  </si>
  <si>
    <t>Cybersecurity standards and frameworks</t>
  </si>
  <si>
    <t>Board Oversight of Cybersecurity</t>
  </si>
  <si>
    <t>Cybersecurity Incidents</t>
  </si>
  <si>
    <t>Human rights policy</t>
  </si>
  <si>
    <t>Supplier code of conduct</t>
  </si>
  <si>
    <t>Supply chain incidents</t>
  </si>
  <si>
    <t>Product quality and safety policy</t>
  </si>
  <si>
    <t>Product recalls</t>
  </si>
  <si>
    <t>Responsible marketing/product labelling</t>
  </si>
  <si>
    <t>Customer data protection</t>
  </si>
  <si>
    <t>Employee satisfaction survey</t>
  </si>
  <si>
    <t>Work-life balance metrics</t>
  </si>
  <si>
    <t>Governance</t>
  </si>
  <si>
    <t>Chairman/CEO Separation</t>
  </si>
  <si>
    <t>Director independence</t>
  </si>
  <si>
    <t>Independence of Chair</t>
  </si>
  <si>
    <t>Audit Commitee expertise</t>
  </si>
  <si>
    <t>CEO Pay Ratio</t>
  </si>
  <si>
    <t>CSRD, SEC</t>
  </si>
  <si>
    <t>Gender pay gap</t>
  </si>
  <si>
    <t>Females on the board</t>
  </si>
  <si>
    <t>Anti-bribery/corruption policy</t>
  </si>
  <si>
    <t>Whistleblowing policy</t>
  </si>
  <si>
    <t>Political contribution disclosure</t>
  </si>
  <si>
    <t>Remuneration disclosure for executives and directors</t>
  </si>
  <si>
    <t>Sustainability-linked executive compensation</t>
  </si>
  <si>
    <t>Tax transparency metrics</t>
  </si>
  <si>
    <t>Lobbying disclosure</t>
  </si>
  <si>
    <t>Anti-money laundering policy</t>
  </si>
  <si>
    <t>Board Tenure</t>
  </si>
  <si>
    <t>Code of Ethics</t>
  </si>
  <si>
    <t>Assurance of Climate/Sustainability Metrics</t>
  </si>
  <si>
    <t>Equal voting rights/class structure</t>
  </si>
  <si>
    <t>Classified Board</t>
  </si>
  <si>
    <t>Company Information</t>
  </si>
  <si>
    <t>Sector, Mid-Sector, Micro-Sector</t>
  </si>
  <si>
    <t>N/A</t>
  </si>
  <si>
    <t>Market Cap</t>
  </si>
  <si>
    <t>Revenue</t>
  </si>
  <si>
    <t>ISIN, SEDOL, CUSIP</t>
  </si>
  <si>
    <t>company master link</t>
  </si>
  <si>
    <t>company report and newsroom links</t>
  </si>
  <si>
    <t>v1</t>
  </si>
  <si>
    <t>v2</t>
  </si>
  <si>
    <t>v3</t>
  </si>
  <si>
    <t>2022 Yes/No</t>
  </si>
  <si>
    <t xml:space="preserve">Strictly based on the text below answer the following question Yes/No with explanation: is the total amount of energy consumed in 2022 explicitly disclosed in the paragraph as a quantitative value? </t>
  </si>
  <si>
    <t xml:space="preserve">Strictly based on the text below answer the following question Yes/No with explanation: is the total amount of renewable energy consumed in 2022 explicitly disclosed in the paragraph as a quantitative value? </t>
  </si>
  <si>
    <t xml:space="preserve">Strictly based on the text below answer the following question Yes/No with explanation: is the total amount of water used in 2022 explicitly disclosed in the paragraph as a quantitative value? </t>
  </si>
  <si>
    <t xml:space="preserve">Strictly based on the text below answer the following question Yes/No with explanation: is the total amount of waste generated in 2022 explicitly disclosed in the paragraph as a quantitative value? </t>
  </si>
  <si>
    <t xml:space="preserve">Answer based on context: Answer the following question by reasoning step-by-step. Hazardous waste produced refers to the generation of waste materials that pose risk to human health and the environment due to their toxic properties. It should include a specific numerical amount and unit of measurement. Is this text a disclosure of explicit and specific hazardous waste produced? </t>
  </si>
  <si>
    <t xml:space="preserve">Strictly based on the text below answer the following question Yes/No with explanation: is the total amount of hazardous waste generated in 2022 explicitly disclosed in the paragraph as a quantitative value? </t>
  </si>
  <si>
    <t xml:space="preserve">Strictly based on the text below answer the following question Yes/No with explanation: is the quantitative value of total 2022 GHG emissions (sum of Scope 1, Scope 2, and Scope 3) explicitly disclosed in the paragraph? </t>
  </si>
  <si>
    <t xml:space="preserve">Answer based on context: Answer the following question by reasoning step-by-step. Greenhouse gas (GHG) emissions refer to the release of greenhouse gases into the atmosphere as a result of human activities, broken down into categories of Scope 1, Scope 2, and Scope 3. It should include a specific numerical amount and unit of measurement. Is this text a disclosure of explicit and specific GHG emissions? </t>
  </si>
  <si>
    <t xml:space="preserve">Strictly based on the text below answer the following question Yes/No with explanation: is the numerical value of total 2022 Scope 1 emissions explicitly disclosed in the paragraph, and if yes, what is the value and unit of measurement? </t>
  </si>
  <si>
    <t>Based on the below table text, are 2022 scope 1 emissions disclosed in the below table text with its unit of measurement?</t>
  </si>
  <si>
    <t>Scope 2 (market-based)</t>
  </si>
  <si>
    <t xml:space="preserve">Strictly based on the text below answer the following question Yes/No with explanation: are Scope 2 market-based emissions for 2022 disclosed in the table as a quantitative value, and if yes, what is that value and its unit of measurement? </t>
  </si>
  <si>
    <t>Scope 2 (location-based)</t>
  </si>
  <si>
    <t xml:space="preserve">Strictly based on the text below answer the following question Yes/No with explanation: are Scope 2 location-based emissions for 2022 disclosed in the table as a quantitative value, and if yes, what is that value and its unit of measurement? </t>
  </si>
  <si>
    <t>Answer the following question by reasoning step-by-step. A GHG Reduction Target refers to a specific goal or objective set by organizations to reduce the emissions of greenhouse gases (GHGs). It should include a year and specific committment. Is this text a disclosure of explicit and specific GHG emissions reduction targets?</t>
  </si>
  <si>
    <t>Scope 3 (total)</t>
  </si>
  <si>
    <t xml:space="preserve">Strictly based on the text below answer the following question Yes/No with explanation: are the total Scope 3 emissions for 2022 disclosed in the table as a quantitative value, and if yes, what is that value and its unit of measurement? </t>
  </si>
  <si>
    <t>Qualitative + 2022 Yes/No</t>
  </si>
  <si>
    <t xml:space="preserve">Strictly based on the text below answer the following question Yes/No with explanation: has the company explicitly disclosed targets that they have set for reducing GHG emissions? </t>
  </si>
  <si>
    <t xml:space="preserve">Strictly based on the text below answer the following question Yes/No with explanation: Is this text a disclosure of explicit and specific GHG emissions reduction targets? </t>
  </si>
  <si>
    <t xml:space="preserve">Answer based on context: 
Answer the following question by reasoning step-by-step. A GHG Reduction Target refers to a specific goal or objective set by organizations to reduce the emissions of greenhouse gases (GHGs). It should include a year and specific committment. Is this text a disclosure of explicit and specific GHG emissions reduction targets? </t>
  </si>
  <si>
    <t xml:space="preserve">Is this text a disclosure of explicit and specific GHG emissions reduction targets? Explain. </t>
  </si>
  <si>
    <t xml:space="preserve">Strictly based on the text below answer the following question Yes/No with explanation: has the company explicitly disclosed science-based (SBTi) targets ? </t>
  </si>
  <si>
    <t xml:space="preserve">Strictly based on the text below answer the following question Yes/No with explanation: Is this text a disclosure of explicit and specific science-based (SBTi) targets? </t>
  </si>
  <si>
    <t>Based on the following paragraph, does the company disclose its physical climate-related risks?</t>
  </si>
  <si>
    <t xml:space="preserve">Strictly based on the text below answer the following question Yes/No with explanation: Is this text a disclosure of explicit and specific physical and/or climate-related risks? </t>
  </si>
  <si>
    <t>Strictly based on the text below answer the following question Yes/No with explanation: Is this text explicitly a disclosure of the company's climate scenario analysis?</t>
  </si>
  <si>
    <t>Strictly based on the text below answer the following question Yes/No with explanation: does the company explicitly disclose if they have board oversight of climate/sustainability in this paragraph?</t>
  </si>
  <si>
    <t>Strictly based on the text below answer the following question Yes/No with explanation: does the company explicitly disclose what is the management's role in oversight of climate/sustainability in this paragraph?</t>
  </si>
  <si>
    <t>Strictly based on the text below answer the following question Yes/No with explanation: does the company explicitly disclose the number of females in executive level positions in this paragraph?</t>
  </si>
  <si>
    <t>Strictly based on the text below answer the following question Yes/No with explanation: does the company explicitly disclose the number of females in manager positions in this paragraph?</t>
  </si>
  <si>
    <t>Strictly based on the text below answer the following question Yes/No with explanation: does the company explicitly disclose the number of female employees or gender composition of its' workforce in this paragraph?</t>
  </si>
  <si>
    <t>Version 1</t>
  </si>
  <si>
    <t>Version 2</t>
  </si>
  <si>
    <t>E</t>
  </si>
  <si>
    <t xml:space="preserve">Answer based on context: 
Answer the following question by reasoning step-by-step.
Scope 1 emissions are direct greenhouse gas emissions from sources owned or controlled by the reporting company. It should include a year, specific numerical amount, and a unit of measurement. It should include a year, specific numerical amount, and a unit of measurement. 
Is this text a disclosure of explicit and specific Scope 1 emissions? </t>
  </si>
  <si>
    <t>Scope 1 emissions are direct greenhouse gas emissions from sources owned or controlled by the reporting company. It should include a year, specific numerical amount, and a unit of measurement.
Answer the following question by reasoning step-by-step based on context:
Context: {paragraph}
Is the above text a disclosure of explicit and specific Scope 1 emissions?</t>
  </si>
  <si>
    <t>Scope 2</t>
  </si>
  <si>
    <t xml:space="preserve">Answer based on context: 
Answer the following question by reasoning step-by-step.
Scope 2 emissions are indirect greenhouse gas emissions often from the generation of purchased electricity, steam, heating, or cooling consumed by the reporting company. It should include a year, specific numerical amount, and a unit of measurement. Is this text a disclosure of explicit and specific Scope 2 emissions? </t>
  </si>
  <si>
    <t>Scope 2 emissions are indirect greenhouse gas emissions often from the generation of purchased electricity, steam, heating, or cooling consumed by the reporting company. It should include a year, specific numerical amount, and a unit of measurement.
Answer the following question by reasoning step-by-step based on context:
Context: {paragraph}
Is the above text a disclosure of explicit and specific Scope 2 emissions?</t>
  </si>
  <si>
    <t>Scope 3</t>
  </si>
  <si>
    <t xml:space="preserve">Answer based on context: 
Answer the following question by reasoning step-by-step.
Scope 3 emissions are all indirect greenhouse gas emissions not included in Scope 2 that occur in the value chain of the reporting company, including both upstream and downstream emissions. There can be multiple categories within Scope 3. It should include a year, specific numerical amount, and a unit of measurement. Is this text a disclosure of explicit and specific Scope 3 emissions? </t>
  </si>
  <si>
    <t>Females in management roles</t>
  </si>
  <si>
    <t>S</t>
  </si>
  <si>
    <t xml:space="preserve">Answer based on context: 
Answer the following question by reasoning step-by-step. The percentage of women in management level positions is a metric reported by companies to demonstrate gender diversity and inclusion in their workforce, specifically in leadership roles.
It should include a specific numerical amount, and a unit of measurement (like percent). Is this text a disclosure of explicit and specific percentage of females in management positions? </t>
  </si>
  <si>
    <t>Females in workforce</t>
  </si>
  <si>
    <t>Ethnicnity stats (if we can)</t>
  </si>
  <si>
    <t xml:space="preserve">Answer based on context: 
Answer the following question by reasoning step-by-step. Ethnic diversity metrics show the percentage breakdown of a company's employee base across different racial and ethnic groups.
It should include a specific numerical amount, and a unit of measurement (like percent). Is this text a disclosure of explicit and specific ethnic diversity metrics for people in management positions? </t>
  </si>
  <si>
    <t xml:space="preserve">Answer based on context: 
Answer the following question by reasoning step-by-step. The employee turnover rate is the percentage of employees that leave an organization during a specified time period, which provides insight into employee satisfaction and retention. It should include a year and a specific numerical amount. Is this text a disclosure of the explicit and specific employee turnover rate? </t>
  </si>
  <si>
    <t>Employee training (program, # of hours, amount spent) (what is possible)</t>
  </si>
  <si>
    <t xml:space="preserve">Answer based on context: 
Answer the following question by reasoning step-by-step. An employee training program shows a company's investment in developing and upskilling its workforce by quantifying the average training time per employee over a given time period. It should include a year and a specific numerical amount. Is this text a disclosure of the explicit and specific average number of hours of training per employee? </t>
  </si>
  <si>
    <t>Employee satisfaction</t>
  </si>
  <si>
    <t xml:space="preserve">Answer based on context: 
Answer the following question by reasoning step-by-step. Employee satisfaction measures how content employees are with their overall work experience, work-life balance, compensation, development opportunities, trust in leadership, and other aspects that influence morale and retention. It typically involves reporting metrics from employee surveys or other feedback mechanisms. Is this text a disclosure of explicit and specific employee satisfaction? </t>
  </si>
  <si>
    <t>G</t>
  </si>
  <si>
    <t xml:space="preserve">Answer based on context: 
Answer the following question by reasoning step-by-step. An anti-money laundering (AML) policy outlines procedures and controls implemented by a company to detect and prevent money laundering activities and comply with related laws and regulations. Is this text a disclosure of whether there is an explicit and specific anti-money laundering policy (AML)? </t>
  </si>
  <si>
    <t xml:space="preserve">Answer based on context: 
Answer the following question by reasoning step-by-step. A whistle-blowing policy outlines a company's procedures and protections for employees to confidentially report suspected unethical or illegal activities without fear of retaliation.. Is this text a disclosure of whether there is an explicit and specific whistleblowing policy? </t>
  </si>
  <si>
    <t xml:space="preserve">Answer based on context: 
Answer the following question by reasoning step-by-step. 
An anti-bribery and corruption policy outlines a company's rules and controls to prohibit employees or third parties from offering or accepting bribes and outline consequences for violations to comply with anti-corruption laws. Is this text a disclosure of whether there is an explicit and specific anti-bribery/corruption policy? </t>
  </si>
  <si>
    <t xml:space="preserve">Answer based on context: 
Answer the following question by reasoning step-by-step. 
A human rights policy outlines a company's commitment and approach to respecting human rights across its operations and value chain, addressing issues including but not limited to non-discrimination, fair wages, safe working conditions, collective bargaining, and actions to avoid complicity in human rights abuses. Is this text a disclosure of whether there is an explicit and specific human rights policy? </t>
  </si>
  <si>
    <t xml:space="preserve">Answer based on context: 
Answer the following question by reasoning step-by-step. 
A supplier code of conduct is a set of ethical standards and principles that a company requires its suppliers to adhere to around issues including but not limited to labor practices, human rights, environmental impacts, ethics, and compliance to align with the company's values. Is this text a disclosure of whether there is an explicit and specific supplier code of conduct? </t>
  </si>
  <si>
    <t>New report types?</t>
  </si>
  <si>
    <t>scope 1</t>
  </si>
  <si>
    <t xml:space="preserve"> almost done, ready for october but will be continually improved. probably like 90%</t>
  </si>
  <si>
    <t>scope 2</t>
  </si>
  <si>
    <t>scope 3</t>
  </si>
  <si>
    <t>women in management</t>
  </si>
  <si>
    <t xml:space="preserve"> getting there. like 80% of the way through, still missing some tough ones (like woolsworth) but doing well on majority. also grabbing too many goals/targets but can get rid of these by filtering on quotes </t>
  </si>
  <si>
    <t>women in workforce</t>
  </si>
  <si>
    <t xml:space="preserve"> hardest metric. some pdfs work well with one prompt and some with others. Viktor and I are thinking that this can be the metric we use our patent-pending multiple prompts with; it would be overkill on the metrics we can get with just one prompt but here it would be ideal </t>
  </si>
  <si>
    <t>internal carbon price</t>
  </si>
  <si>
    <t xml:space="preserve"> just started but shouldn't be hard to get green; new metric not from quant data extraction</t>
  </si>
  <si>
    <t>employee turnover rate</t>
  </si>
  <si>
    <t xml:space="preserve"> got it, need to check that everything </t>
  </si>
  <si>
    <t>avg employee training hours</t>
  </si>
  <si>
    <t>got it</t>
  </si>
  <si>
    <t>employee engagement</t>
  </si>
  <si>
    <t xml:space="preserve"> got it with the prompt we worked on together, calling out surveys, participation rates, etc</t>
  </si>
  <si>
    <t>AML policy</t>
  </si>
  <si>
    <t xml:space="preserve"> got it </t>
  </si>
  <si>
    <t>whistleblowing policy</t>
  </si>
  <si>
    <t xml:space="preserve"> got it</t>
  </si>
  <si>
    <t>anti-bribery and corruption policy</t>
  </si>
  <si>
    <t>human rights policy</t>
  </si>
  <si>
    <t>supplier code of conduct</t>
  </si>
  <si>
    <t>energy</t>
  </si>
  <si>
    <t>renewable energy</t>
  </si>
  <si>
    <t>current status-- claude instant</t>
  </si>
  <si>
    <t>metric</t>
  </si>
  <si>
    <t>llama prompts</t>
  </si>
  <si>
    <t>claude prompts</t>
  </si>
  <si>
    <t>template</t>
  </si>
  <si>
    <t>definition</t>
  </si>
  <si>
    <t>context</t>
  </si>
  <si>
    <t>question</t>
  </si>
  <si>
    <t>sample_yes_extract</t>
  </si>
  <si>
    <t>llama response</t>
  </si>
  <si>
    <t>sample_no_extract</t>
  </si>
  <si>
    <t>no extract llama response</t>
  </si>
  <si>
    <t>achieved</t>
  </si>
  <si>
    <t>Answer the following question based on below context. If you're leaning towards the answer 'yes', include the word 'yes'. If you're leaning to the answer 'no', include the word 'no'. You do not have to be sure.
Question: Does the above text contain an explicit disclosure of the specific Scope 1 emissions?
Text: {paragraph}</t>
  </si>
  <si>
    <t>Answer the following question based on below context. 
Are Scope 1 Emissions for the year 2022 disclosed in the following text (likely found in a table if it is there)? If yes, what is the total amount?
Text:</t>
  </si>
  <si>
    <t>Answer the following question by reasoning step-by-step based on context:</t>
  </si>
  <si>
    <t>Scope 1 emissions are direct greenhouse gas emissions from sources owned or controlled by the reporting company. It should include a year, specific numerical amount, and a unit of measurement.</t>
  </si>
  <si>
    <t>Context: {paragraph}</t>
  </si>
  <si>
    <t>Is the above text a disclosure of explicit and specific Scope 1 emissions?</t>
  </si>
  <si>
    <t>ESG Data Tables
Environmental Data 
GHG Emissions 
 2022 Emissions 
(MT CO2e)
2021 Emissions 
(MT CO2e)
2020 Emissions 
(MT CO2e)
Annual MT 
Difference 
2022 vs 2021
Annual % 
Difference 
2022 vs 2021
Scope 1: On-Site Combustion 52.5 0.5 2.7 52.0 NM1
Sub-Total 52.5 0.5 2.7 52.0 NM1
Scope 2: Office Space (location-based) 5,843 6,001 7,027 (158) (2.6%)
Data Centers (location-based) 11,251 12,8128 14,638 (1,561) (12.2%)
Office Space (market-based) 149 - - 149 -
Data Centers (market-based) - - - - -
Sub-Total (location-based) 17,094 18,8138 21,665 (1,719) (9.1%)
Scope 3:2 1.
Purchased Goods &amp; Services3 59,213 68,340 38,795 (9,127) (13.4%)
2.
Capital Goods3 6,297 3,538 10,219 2,759 78.0%
3.
Fuel- &amp; Energy-Related Activities 2,016 1,3399 N
/A 677 50.6%
5.
Waste Generated in Operations 184 132 222 52 39.4%
6.
Business Travel4 14,325 1,636 3,493 12,689 775.6%
7.
Employee Commuting 1,319 993 2,841 326 32.8%
8.
Upstream Leased Assets6 223 8599 N/A (636) (74.0%)
13.
Downstream Leased Assets7 150 169 N/A (19) (11.2%)
15.
Investments 2,931 1,870 N/A 1,061 56.7%
Sub-Total 86,658 78,8769 55,570 7,782 9.9%
TOTAL5  103,805 97,6908,9 77,238 6,115 6.3%
Note: All the emission data was calculated in accordance with the GHG Protocol guidelines.
1 NM: Not Meaningful.
While the percentage increase in Nasdaq’s Scope 1 emissions is substantial, 
the gross total increase in YOY emissions remains minimal.
The increase is due to methodology 
enhancement on moving corporate card gasoline purchases from Scope 3 to Scope 1. 
2 Categories 4, 9, 10, 11, 12, 14 were not included, as they are not applicable to Nasdaq’s business 
operations.
3 Scope 3, Category 1 and Category 2 only included tangible goods and services in 2020 and 
Scope 3, Category 1 and Category 2 included tangible and intangible goods and services in 2021 
and 2022.
4 2020 Scope 3, Category 6 travel data is limited to data provided by third party travel vendors. 
The data gathering process for 2021 and 2022 improved and includes data provided by third 
party travel vendors and by corporate card spend.
5
The total for all scopes integrates location-based Scope 2 emissions, not market-based Scope 2 
emissions. 
6 Upstream leased assets include emissions from operation of assets leased by the company and 
not included in Scope 1 and 2.
7 Downstream leased assets include emissions from operations of assets leased to other entities. 
8 Our 2021 Scope 2 location-based emissions were recalculated from our prior reported 2021 
Scope 2 emissions.
For our 2022 and recalculated 2021 Scope 2 location-based emissions, we 
implemented a new, updated emissions methodology using location-specific emission factors for 
each of our U.S. locations, rather than a U.S. average emission factor.
9  2021 GHG emissions were recalculated to add Category 3 and Category 8 in order to align to our 
SBTi-approved base year.
GRI 302-1 | GRI 305-1 | GRI 305-2 | GRI 305-3 | GRI 305-5 
 WEF Core 7 
Nasdaq 2022 Sustainability Report Introduction Environmental Social Governance ESG Solutions Community Engagement Appendix</t>
  </si>
  <si>
    <t>Yes, the text provides explicit and specific Scope 1 emissions. Scope 1 emissions are direct greenhouse gas emissions from sources owned or controlled by the reporting company. The text states that Nasdaq's Scope 1 emissions in 2022 were 52.5 MT CO2e, with a 0.5 MT CO2e increase from 2021. The emissions are also broken down into sub-categories, such as On-Site Combustion and Fuel- &amp; Energy-Related Activities. Additionally, the text explains that the increase in Scope 1 emissions is due to methodology enhancement on moving corporate card gasoline purchases from Scope 3 to Scope 1. This suggests that the company has taken steps to improve its emissions reporting and has provided detailed information about its Scope 1 emissions. Therefore, the text can be considered a disclosure of explicit and specific Scope 1 emissions..</t>
  </si>
  <si>
    <t>"SDG Nasdaq's ESG Material Topics &amp; Objectives Nasdaq's SDG-Aligned Initiatives &amp; Activities
12
Responsible Consumption and Production  
Ensure sustainable consumption and production patterns
• ESG &amp; Sustainable Finance Products 
Objective: Support our clients as they manage 
climate risks, stakeholder engagement, and 
transparent reporting and disclosure  
(SDG Target 12.6)
Capital Access Platforms: Corporate ESG Solutions 
• Nasdaq Listings (IPO) package, approved by SEC in 2021, provides newly public companies in the Nasdaq Global Select  
and the Nasdaq Global markets with complimentary sustainability reporting support 
• Launched the ESG Solutions Resource Center
13
Climate Action  
Take urgent action to combat climate change and its impacts
• Decarbonization &amp; Climate Strategy 
Objective: Support carbon neutrality and carbon 
net-zero programs (SDG Target 13.2)
Decarbonization &amp; Climate Strategy  
• Science-based targets were reviewed and approved by SBTi  
•
Implemented Environmental Management System (EMS) 
Objective: Encourage Nasdaq’s suppliers to reduce 
their GHG emissions through CDP disclosure and 
setting science-based targets (SDG Target 13.2)
 Evaluating &amp; Engaging our Supply Chain
• Engaged top suppliers to disclose their environmental data through CDP's Climate Change Survey, resulting in recognition and 
inclusion in CDP's Supplier Engagement Leaderboard
• Added Sustainability-linked amendment to our credit facility, reinforcing commitment to supplier-focused science-based target
• ESG &amp; Sustainable Finance Products 
Objective: Accelerating maturity of carbon and 
sustainability-related initiatives (SDG Target 13.3)
Market Platforms: European Trading Services 
• Puro.earth, the world’s first carbon crediting platform for engineered carbon removals 
• Green Equity Designations aims to enable visibility and transparency for investors with two voluntary designations 
• Nasdaq Sustainable Bond Network Investor Portal connects issuers of environmental, social and sustainable bonds with investors 
•
Nasdaq Sustainable Debt Markets highlights sustainable investment opportunities to investors with a green,  
social or sustainable investment agenda 
Objective: Lead the shift towards more sustainable 
and inclusive capital markets (SDG Target 13.3)
Capital Access Platforms: Investment Intelligence 
• ESG Indexes integrates ESG criteria into the index methodology, with some indexes designed purely  
as ESG and others designed with ESG criteria as an overlay to a broader investment thesis 
• Nasdaq’s ESG Data Hub offers investors and other stakeholders easy access to a wide range of unique and comprehensive ESG  
data sets
17
Partnerships for the Goals 
Strengthen the means of implementation and revitalize 
the Global Partnership for Sustainable Development 
• Community Engagement  
Objective: Participate in, and represent Nasdaq 
with, key associations and partnerships to continue 
the effort on advancing  our sustainability strategy, 
as well as for consistent and transparent ESG 
reporting (SDG Target 17.16)
ESG Memberships
• Business Roundtable (BRT) “Purpose of a Corporation”
• CDP Supply Chain Global Sustainability Standards Board (GSSB)
• Science Based Targets initiative (SBTi)
• Task Force on Nature-Related Financial Disclosures (TNFD)
Forum
• United Nations Global Compact (UNGC)
• United Nations Principles for Responsible Investment (PRI)
• United Nations Sustainable Stock Exchange (SSE) Initiative 
• United Nations Sustainable Stock Exchange (SSE) Advisory Group on Carbon Markets
• World Federation of Exchanges (WFE) – Sustainability Working Group
Nasdaq 2022 Sustainability Report Introduction Environmental Social Governance ESG Solutions Community Engagement Appendix
20"</t>
  </si>
  <si>
    <t>No, the text does not provide explicit and specific Scope 1 emissions. While it mentions that Scope 1 emissions are direct greenhouse gas emissions from sources owned or controlled by the reporting company, it does not provide a specific numerical amount or unit of measurement for Nasdaq's Scope 1 emissions. The text does provide information on Nasdaq's efforts to reduce its carbon footprint and promote sustainability, but it does not explicitly disclose the company's Scope 1 emissions. Therefore, the text cannot be considered a disclosure of explicit and specific Scope 1 emissions..</t>
  </si>
  <si>
    <t>Strictly from the context below, does the text contain company's Anti-money laundering policy disclosure?</t>
  </si>
  <si>
    <t>Answer the following question based on below context. If you're leaning towards the answer 'yes', include the word 'yes'. If you're leaning to the answer 'no', include the word 'no'. You do not have to be sure.
​
Question: Does the above text contain an explicit disclosure of the specific Scope 2 emissions?
​
​
Text: {paragraph}
​</t>
  </si>
  <si>
    <t xml:space="preserve">Answer the following question based on below context. 
Are Scope 2 Emissions for the year 2022 disclosed in the following text (likely found in a table if it is there)? If yes, what is the total amount?
Text: # doesn't pick up market- and location-based </t>
  </si>
  <si>
    <t>Scope 2 emissions are indirect greenhouse gas emissions often from the generation of purchased electricity, steam, heating, or cooling consumed by the reporting company. It should include a year, specific numerical amount, and a unit of measurement.</t>
  </si>
  <si>
    <t>Is this text a disclosure of explicit and specific Scope 2 emissions?</t>
  </si>
  <si>
    <t>Strictly from the context below, does the text contain company's Whistleblowing policy disclosure?</t>
  </si>
  <si>
    <t>Answer the following question based on below context. If you're leaning towards the answer 'yes', include the word 'yes'. If you're leaning to the answer 'no', include the word 'no'. You do not have to be sure.
Question: Does the above text contain an explicit disclosure of the specific Scope 3 emissions?
Text: {paragraph}</t>
  </si>
  <si>
    <t>Answer the following question based on below context. 
Are Scope 3 Emissions for the year 2022 disclosed in the following text (likely found in a table if it is there)? If yes, what is the total amount?
Text:</t>
  </si>
  <si>
    <t>Scope 3 emissions are all indirect greenhouse gas emissions not included in Scope 2 that occur in the value chain of the reporting company, including both upstream and downstream emissions. There can be multiple categories within Scope 3. It should include a year, specific numerical amount, and a unit of measurement.</t>
  </si>
  <si>
    <t>Is this text a disclosure of explicit and specific Scope 3 emissions?</t>
  </si>
  <si>
    <t>Scope 3 emissions are indirect greenhouse gas emissions that result from activities outside of the reporting company's direct operations, but are related to its products, services, or value chain. Examples of Scope 3 emissions include emissions from the production of raw materials, transportation of goods, use of products by customers, and disposal of products at the end of their life.</t>
  </si>
  <si>
    <t>Strictly from the context below, does the text contain company's Anti-bribery/corruption policy disclosure?</t>
  </si>
  <si>
    <t>Answer the following question based on below context. If you're leaning towards the answer 'yes', include the word 'yes'. If you're leaning to the answer 'no', include the word 'no'. You do not have to be sure.
Question: Is the below text a disclosure of explicit and specific percentage of females in management positions?
Definition: The percentage of women in management level positions is a metric reported by companies to demonstrate gender diversity and inclusion in their workforce, specifically in leadership roles. It should include a specific numerical amount, and a unit of measurement (like percent).
Text: {paragraph}</t>
  </si>
  <si>
    <t xml:space="preserve">Answer the following question based on below context. Question: Does the below text contain a disclosure(likely in a table or chart if it is there) of the specific percentage of women in any level of management positions? 
</t>
  </si>
  <si>
    <t xml:space="preserve"> The percentage of women in management level positions is a metric reported by companies to demonstrate gender diversity and inclusion in their workforce, specifically in leadership roles. It should include a specific numerical amount, and a unit of measurement (like percent).</t>
  </si>
  <si>
    <t>Is this text a disclosure of explicit and specific percentage of females in management positions?</t>
  </si>
  <si>
    <t>Workforce by Race and Ethnicity
Seniority by Race and Ethnicity (U.S. Only)
2022 2021 2020
Race &amp; Ethnicity1 Executive Senior Mid Entry Executive Senior Mid Entry Executive Senior Mid Entry
White 84.6% 71.8% 64.0% 57.6% 85.9% 71.0% 65.3% 57.7% 88.9% 72.8% 66.3% 57.6%
Asian 6.0% 15.3% 17.9% 16.4% 5.2% 14.4% 18.1% 18.6% 5.2% 14.9% 17.6% 19.0%
Black 4.0% 4.7% 7.1% 12.2% 3.0% 4.6% 6.8% 11.1% 2.2% 3.7% 6.7% 11.6%
Hispanic 2.7% 4.5% 5.9% 7.2% 3.7% 4.9% 5.8% 6.2% 1.5% 4.0% 5.4% 5.3%
Two or More 0.7% 1.3% 2.2% 3.0% 0.7% 2.0% 1.6% 3.3% 0.7% 2.2% 1.5% 3.4%
Pacific Islander 0.7% - 0.3% 0.3% 0.7% - 0.3% - 0.7% - 0.3% -
Native American - 0.5% - 0.2% - 0.3% 0.2% 0.2% - - 0.1% 0.2%
Undisclosed 1.3% 1.8% 2.7% 3.2% 0.7% 2.9% 1.9% 2.9% 0.7% 2.5% 2.1% 3.0%
Note: Totals may not add up to 100% due to rounding to the closest tenth decimal point.
1 Calculations exclude employees of Verafin and Metrio.
Race and Ethnicity at the Managerial Level (U.S. Only) 
Race &amp; Ethnicity 2022 2021 2020
White 73.7% 76.4% 76.2%
Asian 10.7% 9.9% 9.4%
Black 6.2% 5.1% 3.9%
Hispanic 4.1% 4.4% 3.6%
Two or More 2.6% 2.0% 1.9%
Pacific Islander 0.2% 0.2% -
Native American 0.3% 0.2% -
Undisclosed 2.3% 1.8% 5.1%
Note: Totals may not add up to 100% due to rounding to the closest tenth decimal point.
GRI 405-1 
 SASB TC-SI-330a.3 
 WEF Core 11 
Nasdaq 2022 Sustainability Report Introduction Environmental Social Governance ESG Solutions Community Engagement Appendix</t>
  </si>
  <si>
    <t>According to the text, Nasdaq's Scope 3 emissions in 2022 were 86,658 MT CO2e, which is an increase of 9.9% compared to 2021. The text also provides a breakdown of the Scope 3 emissions into different categories, such as Purchased Goods &amp; Services, Capital Goods, Fuel- &amp; Energy-Related Activities, Waste Generated in Operations, Business Travel, Employee Commuting, Upstream Leased Assets, Downstream Leased Assets, and Investments.</t>
  </si>
  <si>
    <t>Strictly from the context below, does the text contain company's Human rights policy disclosure?</t>
  </si>
  <si>
    <t xml:space="preserve">Answer the following question  based on below context. If you're leaning towards the answer 'yes', include the word 'yes'. If you're leaning to the answer 'no', include the word 'no'. You do not have to be sure.
Question: Is the below text a disclosure of an explicit percentage of women in the workforce?
Definition: The percentage of female employees in the workforce shows a company's gender diversity by quantifying representation of women across all levels, business divisions, and geographies of the organization. It should have a specific numeric amount and a percentage. 
Text: {paragraph}	
</t>
  </si>
  <si>
    <t xml:space="preserve">Answer the following question based on below context:
Can you determine the total specific percentage of  women in the workforce(likely in a table or a chart if it is there) from the below text?
Text: </t>
  </si>
  <si>
    <t xml:space="preserve">
The percentage of female employees in the workforce shows a company's gender diversity by quantifying representation of women across all levels, business divisions, and geographies of the organization. It should have a specific numeric amount and a percentage. </t>
  </si>
  <si>
    <t>Is this text a disclosure of explicit and specific percentage of women in the workforce?</t>
  </si>
  <si>
    <t>It's worth noting that the text mentions that the Scope 3 emissions data was calculated in accordance with the GHG Protocol guidelines, which</t>
  </si>
  <si>
    <t>Strictly from the context below, does the text contain company's Supplier code of conduct disclosure?</t>
  </si>
  <si>
    <t>Ethnicity management</t>
  </si>
  <si>
    <t xml:space="preserve">Answer the following question by reasoning step-by-step based on below context. If you're leaning towards the answer 'yes', include the word 'yes'. If you're leaning to the answer 'no', include the word 'no'. You do not have to be sure.
Question: Is this text an explicit disclosure of the specific percentage breakdown of race in management positions?
Definition: Ethnic diversity metrics show the percentage breakdown of a company's management positions across different racial and ethnic groups. It should include a specific numerical amount, and a unit of measurement (like percent). 
Text: {paragraph}	</t>
  </si>
  <si>
    <t>Answer the following question based on below context. 
Does the below text contain a disclosure(likely in a table or chart) of the specific percentage of ethnic minorities in any level of management positions? 
Text:</t>
  </si>
  <si>
    <t>Ethnicity workforce</t>
  </si>
  <si>
    <t>Answer the following question by reasoning step-by-step based on below context. If you're leaning towards the answer 'yes', include the word 'yes'. If you're leaning to the answer 'no', include the word 'no'. You do not have to be sure.
Question: Is this text an explicit disclosure of the specific percentage breakdown of race or percentage of employees from minority or underrepresented groups in the company's workforce?
Definition: Ethnic diversity metrics show the percentage breakdown of a company's workforce across different racial and ethnic groups. It should include a specific numerical amount, and a unit of measurement (like percent). 
Text: {paragraph}</t>
  </si>
  <si>
    <t>Answer the following question yes/no based on below context:
Can you determine the total specific percentage of racial/ethnic diversity in the workforce(likely in a table or a chart if it is there) from the below text?
Text:</t>
  </si>
  <si>
    <t xml:space="preserve">Ethnic diversity metrics show the percentage breakdown of a company's employee base across different racial and ethnic groups.
It should include a specific numerical amount, and a unit of measurement (like percent). </t>
  </si>
  <si>
    <t>Is this text a disclosure of explicit and specific ethnic diversity metrics for people in management positions?</t>
  </si>
  <si>
    <t>Answer the following question by reasoning step-by-step based on below context. If you're leaning towards the answer 'yes', include the word 'yes'. If you're leaning to the answer 'no', include the word 'no'. You do not have to be sure.
​
Question: Is this text an explicit disclosure of the specific rate of employee turnover?
​
Definition: The employee turnover rate is the percentage of employees that leave an organization during a specified time period, which provides insight into employee satisfaction and retention. It should include a year and a specific percentage.   
​
Text: {paragraph}       
​</t>
  </si>
  <si>
    <t>Answer the following question based on below context. Does this text contain a disclosure (likely in a table) of employee turnover rate? If yes, what is it?
Text: {paragraph}</t>
  </si>
  <si>
    <t>The employee turnover rate is the percentage of employees that leave an organization during a specified time period, which provides insight into employee satisfaction and retention. It should include a year and a specific numerical amount.</t>
  </si>
  <si>
    <t>Is this text a disclosure of the explicit and specific employee turnover rate?</t>
  </si>
  <si>
    <t xml:space="preserve">Employee Turnover
Overall Employee Turnover Rates 20221 2021 2020
Voluntary 11.0% 11.5% 7.0%
Involuntary 2.2% 6.1% 5.5%
1 Calculations exclude 907 Verafin employees due to internal timing of data integration.
Employee Voluntary and Involuntary Turnover Rates by Gender 20221
2021
Male 13.1% 14.5%
Female 13.2% 14.8%
Undisclosed 8.3% 38.5%
Non-binary - -
1
Calculations exclude 907 Verafin employees due to internal timing of data integration.
Employee Voluntary and Involuntary Turnover Rates  
by Employee Level 20221 2021
Executive 7.6% 11.8%
Senior 6.3% 10.3%
Mid 12.4% 12.9%
Entry 20.1% 23.2%
1 Calculations exclude 907 Verafin employees due to internal timing of data integration.
Employee Voluntary and Involuntary Turnover Rates by  
Race &amp; Ethnicity (U.S. Only) 2022 2021
White 12.5% 14.3%
Asian 13.9% 14.1%
Black 12.1%
21.7%
Hispanic 14.8% 17.7%
Two or More 12.8% 22.2%
Pacific Islander - 20.0%
Native American - 50.0%
Undisclosed 9.1% 30.6%
 GRI 401-1 
 WEF Core 17 
Nasdaq 2022 Sustainability Report Introduction Environmental Social Governance ESG Solutions Community Engagement Appendix
</t>
  </si>
  <si>
    <t>Based on the text provided, the employee turnover rate is not explicitly stated as a single, overall percentage. However, we can calculate the employee turnover rate for each category provided:
Voluntary Turnover Rate:
* 2022: 11.0% (13.1% for males, 13.2% for females, and 8.3% for undisclosed)
* 2021: 11.5% (14.5% for males, 14.8% for females, and 38.5% for undisclosed)
Involuntary Turnover Rate:
* 2022: 2.2%
* 2021: 6.1%
Total Turnover Rate (Voluntary + Involuntary):
* 2022: 13.2% (11.0% voluntary + 2.2% involuntary)
* 2021: 17.6% (11.5% voluntary + 6.</t>
  </si>
  <si>
    <t>in progress</t>
  </si>
  <si>
    <t xml:space="preserve">Answer the following question by reasoning step-by-step based on below context. If you're leaning towards the answer 'yes', include the word 'yes'. If you're leaning to the answer 'no', include the word 'no'. You do not have to be sure.
Question: Is this text an explicit disclosure of the specific average number of hours of training per employee?
Definition: An employee training program shows a company's investment in developing and upskilling its workforce by quantifying the average training time per employee over a given time period. It should include a year and a specific numerical amount.	
Text: {paragraph}	
</t>
  </si>
  <si>
    <t xml:space="preserve">Answer the following question based on below context:
 Can you determine the average number of hours of training per employee in 2022 (likely found in a table or chart if it is available) from the text below?
 </t>
  </si>
  <si>
    <t xml:space="preserve"> An employee training program shows a company's investment in developing and upskilling its workforce by quantifying the average training time per employee over a given time period. It should include a year and a specific numerical amount.</t>
  </si>
  <si>
    <t>Is this text a disclosure of the explicit and specific average number of hours of training per employee?</t>
  </si>
  <si>
    <t>Career Development
For individual career development, we 
operate under the philosophy of the 
70/20/10 Learning Principle, where 
roughly 70% of professional development 
happens through learning on the job; 20% 
through developmental relationships like 
coaching and mentoring; and 10% through 
formal training.
Nasdaq offers a variety of 
professional development experiences via 
multiple channels and modes that support 
diverse learning styles. 
We have invested heavily in professional 
development for our employees, creating 
a dedicated Career Development internal 
website that serves as a central point 
for dozens of career resources.
These 
resources include offering access to more 
than 26,000 professional in-person and 
online employee development programs 
and job-specific training, providing 
tuition assistance to employees enrolled 
in degree-granting academic programs, 
holding internal career fairs and career 
networking programs and providing one-
on-one mentoring.
As a technology organization, we recognize 
that building critical, cutting edge technical 
and financial skills is paramount and as such 
we have relationships with institutions of 
higher education, such as Massachusetts 
Institute of Technology (MIT), as well as 
corporate institutions such as the Amazon 
Web Services (AWS) Skills Guild, Microsoft’s 
AI Business School and the Council on 
Foreign Relations.
Recognizing the critical role our people 
managers play in developing and retaining 
our talent, in 2022 Nasdaq offered over 
a dozen leadership and management 
development programs for every level of 
leader in the firm.
In 2022, we also launched 
the Nasdaq Manager Forum.
With our CEO 
as the facilitator, the Nasdaq Manager 
Forum is a series of webcasts that provides 
practical advice from leaders at every level 
across the organization on a wide range of 
people management topics.
In 2023, we launched our flagship High 
Potential program, LEAD, which will focus 
on preparing mid-level managers for future 
leadership roles through a curriculum based 
on building business acumen, leadership 
skills, peer networking and senior leader job 
shadowing opportunities.
In 2022, we provided Conscious Inclusion 
training for all employees and an Inclusive 
Leadership program for our managers.
We 
customized our developmental program 
for underrepresented talent, including 
executive mentoring and accelerated 
leadership development programs.
In 2022, 
we also graduated the second cohort of 
our Emerging Leaders Program, which 
currently serves members of our Black and 
African American community.
Our Emerging 
Leaders Program will be expanded in 2023 
to serve additional members of historically 
underrepresented communities in their 
professional development.
The table below highlights the average number of training hours  
for full-time employees for 2022.
Training1 2022 2021 2020
Average number of training hours 19.4 17.2 15.3
Average amount per employee spent on training $320 $320 $280
Total hours of employee training 103,083 86,423 72,950
1 Includes full-time regular employees; excludes Verafin and Metrio employees.
GRI 404 | GRI 404-1 | GRI 404-2 
 WEF Core 16 
Nasdaq 2022 Sustainability Report Introduction Environmental Social Governance ESG Solutions Community Engagement Appendix
40</t>
  </si>
  <si>
    <t>Employee engagement</t>
  </si>
  <si>
    <t xml:space="preserve">Answer the following question by reasoning step-by-step based on below context. If you're leaning towards the answer 'yes', include the word 'yes'. If you're leaning to the answer 'no', include the word 'no'. You do not have to be sure.
Question: Does this text contain an explicit disclosure specific results employee satisfaction surveys?
Employee engagement measures how content employees are with their overall work experience, work-life balance, compensation, development opportunities, trust in leadership, and other aspects that influence morale and retention. It requires reporting specific results from employee surveys or other feedback mechanisms. ''', ''' Answer the following question by reasoning step-by-step based on below context. If you're leaning towards the answer 'yes', include the word 'yes'. If you're leaning to the answer 'no', include the word 'no'. You do not have to be sure.
Text: {paragraph}	</t>
  </si>
  <si>
    <t xml:space="preserve">Answer the following question based on below context:
Does this text contain an explicit disclosure of whether this company has employee satisfaction/employee engagement surveys or similar employee satisfaction metrics?
 </t>
  </si>
  <si>
    <t xml:space="preserve"> Employee engagement measures how content employees are with their overall work experience, work-life balance, compensation, development opportunities, trust in leadership, and other aspects that influence morale and retention. It typically involves reporting metrics from employee surveys or other feedback mechanisms. </t>
  </si>
  <si>
    <t>Is this text a disclosure of explicit and specific employee satisfaction?</t>
  </si>
  <si>
    <t>Out of the 92% of our employees who 
participated in our engagement survey:* 
would recommend Nasdaq  
as a great place to work90%
are proud to work for Nasdaq92%
feel they belong at Nasdaq81%
believe Nasdaq is advancing 
Diversity, Inclusion and Belonging87%
believe people from all backgrounds have 
equal opportunities to succeed at Nasdaq85%
*October 2022
Employee Survey
Employee Engagement and Satisfaction 
Through Nasdaq’s diversity, equity and 
inclusion work, our resources are aligned 
to support our culture and engagement 
strategy.
During 2022, Nasdaq continued 
to conduct employee sentiment surveys 
bi-annually.
We realized significant 
improvements across many categories, 
including leadership, management and 
culture, compared to average scores over 
the past four years.
Nasdaq seeks to drive progress in 
employee engagement in a multitude of 
ways, but especially by focusing on the 
role of the manager.
Each manager at 
Nasdaq with four or more direct reports 
receives a custom engagement report 
for their team containing the anonymous, 
aggregated responses of their team 
members, how their team compares to 
Nasdaq as a whole and industry averages 
and where their team may be higher or 
lower than the average.
Nasdaq’s People 
Team partners with our managers and 
Business Unit leaders to identify areas of 
opportunity and to develop action plans, for 
instance a focus on career development, 
communication and/ or recognition.
Nasdaq maintains several employee 
recognition programs, including a peer-to-
peer recognition reward, where peers or 
managers can award recognition points that 
can be exchanged for goods or services. 
These awards are published to the entire 
company by means of a social feed so that 
the recognition can be amplified.
Nasdaq continues to build knowledge of our 
culture focused on economic growth and 
prosperity for all.
In 2022, we crystallized 
our culture by publishing our first Culture 
Book, an inside look at what it’s like to work 
at Nasdaq so employees can thrive as they 
work towards our Company’s goals. 
We renewed our Humans@Nasdaq video 
series in 2023 to highlight internal talent 
at Nasdaq.
This storytelling series features 
individuals from across Nasdaq, showcasing 
and cultivating our corporate culture. 
The series also serves as a tool to reach 
potential talent outside our Company. 
In 2022, over 90% of our employees 
participated in our engagement survey.
Our 
engagement scores demonstrate Nasdaq’s 
high level of employee engagement and we 
are continuously reviewing our initiatives 
to identify opportunities to improve.
In our 
employee engagement survey, questions 
have a five-point scale in which Nasdaq 
employees can choose which option best 
aligns with their feedback.
We also offer 
a comments section and encourage free-
form responses to any question where 
the employee wishes to provide more 
context.
These comments are all reviewed, 
aggregated and shared (anonymously) 
where applicable.
GRI 401 
 SASB TC-SI-330a.2 
Nasdaq 2022 Sustainability Report Introduction Environmental Social Governance ESG Solutions Community Engagement Appendix
42
https://www.nasdaq.com/docs/nasdaq-culture-book
https://www.nasdaq.com/docs/nasdaq-culture-book</t>
  </si>
  <si>
    <t xml:space="preserve">Answer the following question by reasoning step-by-step based on below context. If you're leaning towards the answer 'yes', include the word 'yes'. If you're leaning to the answer 'no', include the word 'no'. You do not have to be sure.
Question: Is this text a disclosure of whether there is an explicit and specific anti-money laundering policy (AML)?
An anti-money laundering (AML) policy outlines procedures and controls implemented by a company to detect and prevent money laundering activities and comply with related laws and regulations.	
Text: {paragraph}	</t>
  </si>
  <si>
    <t>An anti-money laundering (AML) policy outlines procedures and controls implemented by a company to detect and prevent money laundering activities and comply with related laws and regulations.</t>
  </si>
  <si>
    <t>Is this text a disclosure of whether there is an explicit and specific anti-money laundering policy (AML)?</t>
  </si>
  <si>
    <t>Human Rights Assessment 
In 2021, Nasdaq collaborated with an 
independent third-party to initiate a formal 
human rights assessment consistent with the 
United Nations Guiding Principles on Business 
and Human Rights (UNGP).
The assessment 
focused on:
• outlining current expectations of financial 
institutions with regards to human rights;
• building internal understanding of human 
rights; and
• undertaking an initial, high-level gap 
analysis of Nasdaq’s current policies 
and practices against the UNGP’s, with 
recommendation on best practices.
Following the completion of this assessment, 
in 2022 we evaluated our level of potential 
human rights risk exposure in the high-
priority areas identified by the third-party 
assessment and confirmed that our risk 
exposure is low.
However, we understand that 
supply chains are complex and continually 
evolving and global human rights conditions 
change
and we will continue our vigilant 
human rights due diligence.
We are evaluating 
processes and technologies that could enable 
us to enhance our current risk-monitoring 
capabilities in the future.
Anti-Financial Crime &amp;  
Anti-Money Laundering
As a self-regulatory organization and 
operator of regulated financial systems such 
as exchanges, a clearinghouse and central 
securities depositories, Nasdaq is deeply 
committed to ensuring that markets operate 
fairly and do not facilitate financial crime, 
including money laundering and terrorism 
financing.
Nasdaq’s Code of Ethics, Trade 
Controls and Sanctions Compliance Policy 
and Global Anti-Money Laundering (AML) 
Policy, as well as applicable regional policies 
require compliance with all AML laws and 
regulations that apply to our business.
For 
covered operations, this includes conducting 
any required know-your-customer (KYC) 
due diligence, monitoring transactions and 
reporting suspicious activities.
Nasdaq 
is committed to detecting and deterring 
money laundering and terrorism financing. 
Following the onboarding, Nasdaq conducts 
continuous screening of our prospects, 
customers and suppliers against various 
compliance watchlists, including terrorist 
and terrorism-financing lists.
Nasdaq 
retains all records related to third party 
due diligence, transactions monitoring and 
reporting in accordance with our records 
retention procedures.
Additionally, Nasdaq 
mandates all employees reserve all records 
and documentation related to an existent or 
a potential investigation into anti-bribery/
corruption, sanctions, trade control, AML 
or other violation(s) of financial crime laws, 
including all emails, voicemails, text messages, 
paper documents, records and files, electronic 
documents, records and files.
Members of Nasdaq’s exchanges are required 
to have in place AML and other diligence 
programs to screen their clients and market 
participants in accordance with the applicable 
U.S. and EU laws and regulations.
In addition 
to legal requirements related to AML, Nasdaq 
is implementing a risk-based anti-financial 
crime framework in key business segments to 
augment its compliance programs.
Across our global enterprise, Nasdaq has 
implemented comprehensive policies and 
screening programs to enable compliance with 
economic sanctions that apply to its business. 
This includes screening all customers, vendors 
and other business partners against applicable 
sanctions lists such as those published by the 
United Nations, U.S. Department of Treasury, 
Office of Foreign Assets Control, the European 
Union and the United Kingdom along with 
other jurisdictions where Nasdaq operates. 
Nasdaq has appointed senior level employees 
to oversee its sanctions compliance program 
and reviews its sanction compliance policy 
annually with its Board of Directors.
In 2022, 
Nasdaq delivered mandatory high-level 
sanctions and AML compliance training to 
all of its employees and, in 2023, is planning 
to provide targeted in-depth training for 
employees in the Sales and Accounting 
functions.
In operating our markets, Nasdaq maintains 
robust surveillance teams that monitor our 
markets for potential suspicious trading 
activity and compliance with our market rules. 
Our surveillance teams use sophisticated 
software that leverages models and 
analytics to identify suspected risks, which 
are then escalated and reviewed.
Nasdaq 
cooperates with the Securities and Exchange 
Commission, financial supervisory authorities, 
Financial Industry Regulatory Authority, The 
European Securities and Markets Authority 
and other exchanges to address suspected 
violations and to deter, identify and prosecute 
unlawful activity affecting the securities 
market.
Nasdaq also licenses its technology 
to regulators and financial firms to help them 
monitor their markets and activity.
Nasdaq believes it is important for our 
employees to stay informed regarding the 
latest developments in anti-financial crime 
and money laundering and provides regular 
updates and training sessions on this topic. 
In 2023, we aim to continue enhancing 
information on our public website regarding 
anti-financial crime and privacy programs.
GRI 402 | GRI 407 | GRI 408 | GRI 408-1 | GRI 409 | GRI 409-1 
 WEF Core 4 | WEF Core 5 | WEF
Core 14 
Nasdaq 2022 Sustainability Report Introduction Environmental Social Governance ESG Solutions Community Engagement Appendix
5252</t>
  </si>
  <si>
    <t xml:space="preserve">Answer the following question by reasoning step-by-step based on below context. If you're leaning towards the answer 'yes', include the word 'yes'. If you're leaning to the answer 'no', include the word 'no'. You do not have to be sure.
Question: Does this text contain an explicit disclosure of whether there is a whistleblowing policy?
A whistle-blowing policy outlines a company's procedures and/or protections for employees to confidentially report suspected unethical or illegal activities without fear of retaliation.
Text: {paragraph}	</t>
  </si>
  <si>
    <t>A whistle-blowing policy outlines a company's procedures and protections for employees to confidentially report suspected unethical or illegal activities without fear of retaliation.</t>
  </si>
  <si>
    <t>Is this text a disclosure of whether there is an explicit and specific whistleblowing policy?</t>
  </si>
  <si>
    <t>Employee Training and Certifications 
All employees are required to complete 
trainings and certifications on an annual 
basis and as part of their initial on-boarding. 
Training topics include:
• Ethics, Integrity and Conflicts of Interest
• Cybersecurity Awareness and Privacy
• Anti-Financial Crime &amp; Anti-Money 
Laundering
• Economic Sanctions and Trade Controls
• Insider Trading
• Nasdaq’s SpeakUp!
Program
• Anti-Corruption, Gifts and Business 
Entertainment
Employees are required, at the time of hire 
and annually during a set period thereafter, 
to complete certifications:
• Attesting to the accuracy of their financial 
and conflict of interest disclosures (which 
are required to be maintained current on 
an ongoing basis)
• To comply with Nasdaq’s Code of Ethics 
• To comply with Nasdaq’s compliance, 
information security and privacy policies, 
including, but not limited to, Nasdaq’s 
policy regarding insider trading/personal 
securities trading (the Global Trading  
Policy) and policies related to anti-
corruption, sanctions and trade controls
Nasdaq provides specialized Anti-Money 
Laundering (AML) training for the newly 
hired employees of Nasdaq Central 
Securities Depository Stock Exchanges 
(CSD) covering the services offered by 
Nasdaq CSD, which are under the scope 
of applicable AML law (in Latvia and in 
Estonia).
The training provides an overview 
of the goals of AML regulation, describes 
the rationale of the services being under 
AML requirements and explains the 
measures applied and the policies and 
instructions adopted by Nasdaq CSD 
to ensure that the services are offered 
in compliance with AML requirements. 
Nasdaq's broker dealer group provides 
annual AML training for all registered 
representatives of our broker dealer 
subsidiaries.
The training provides an 
overview of the three stages of anti-money 
laundering, describes the regulatory 
framework for U.S. AML requirements and 
outlines key aspects of the AML program 
including guidance for identifying red flags 
and reporting suspicious activity.
Additionally, all newly hired employees are 
required to complete ethics and compliance 
training as part of initial on-boarding and 
town hall events and webinars provide 
detailed training to all employees on a 
quarterly basis.
In 2022, with the lifting of 
pandemic travel restrictions and increased 
in-office attendance, these trainings were 
augmented with in-person training events. 
Whistleblower Program and 
Protections 
A cornerstone of our ethics program is our 
SpeakUp!
Program.
Under our SpeakUp! 
Program, employees, contractors and 
third parties doing business with Nasdaq 
have multiple channels for raising ethics 
and compliance concerns or allegations of 
misconduct.
These channels include directly 
contacting our Global Ethics Team through 
dedicated communications channels 
and reporting through our SpeakUp! 
Line, a whistleblower hotline that allows 
individuals to make anonymous reports.
The 
SpeakUp!
Line is operated by a third-party 
hotline provider that enables Nasdaq to 
communicate with an individual reporting an 
issue on an anonymous basis.
This Program 
includes specific investigation procedures 
for notifying appropriate business 
management (including, where appropriate, 
Internal Audit and SOX compliance 
functions), conducting investigations, 
resolving matters and closing out matters 
All employees are required to complete 
trainings and certifications on an annual 
basis and as part of their initial on-
boarding.
Training topics include:
• Ethics, Integrity and Conflicts of Interest
• Cybersecurity Awareness and Privacy
• Anti-Money Laundering
• Economic Sanctions and Trade Controls
• Insider Trading
• Nasdaq’s SpeakUp!
Program
• Anti-Corruption, Gifts and Business Entertainment
 GRI 2 | GRI 2-23 | GRI 2-24 | GRI 2-25 | GRI 2-26 | GRI 205-2 | GRI 404 
 WEF Core 4 | WEF
Core 5 | WEF
Core 14 
Nasdaq 2022 Sustainability Report Introduction Environmental Social Governance ESG Solutions Community Engagement Appendix
50</t>
  </si>
  <si>
    <t>Answer the following question by reasoning step-by-step based on below context. If you're leaning towards the answer 'yes', include the word 'yes'. If you're leaning to the answer 'no', include the word 'no'. You do not have to be sure.
Question: Is this text an explicit disclosure of whether there is a specific anti-bribery/corruption policy?
An anti-bribery and corruption policy outlines a company's rules and controls to prohibit employees or third parties from offering or accepting bribes and outline consequences for violations to comply with anti-corruption laws.	
Text: {paragraph}</t>
  </si>
  <si>
    <t>An anti-bribery and corruption policy outlines a company's rules and controls to prohibit employees or third parties from offering or accepting bribes and outline consequences for violations to comply with anti-corruption laws.</t>
  </si>
  <si>
    <t>Is this text a disclosure of whether there is an explicit and specific anti-bribery/corruption policy?</t>
  </si>
  <si>
    <t>Anti-harrassment and Anti-discrimination policies</t>
  </si>
  <si>
    <t>Answer the following question by reasoning step-by-step based on below context. If you're leaning towards the answer 'yes', include the word 'yes'. If you're leaning to the answer 'no', include the word 'no'. You do not have to be sure.
Question:Is this text an explicit disclosure of whether there is a specific human rights policy?
Definition: A human rights policy outlines a company's commitment and approach to respecting human rights across its operations and value chain, addressing issues including but not limited to non-discrimination, fair wages, safe working conditions, collective bargaining, and actions to avoid complicity in human rights abuses. 
Text: {paragraph}</t>
  </si>
  <si>
    <t>Anti-harassment and anti-discrimination policies are company rules and guidelines that prohibit workplace harassment and discrimination based on protected characteristics, define prohibited conduct, explain complaint procedures, require training, and confirm that policy violations can result in discipline up to termination.</t>
  </si>
  <si>
    <t>Is this text a disclosure of whether there is an explicit and specific human rights policy?</t>
  </si>
  <si>
    <t xml:space="preserve">Answer the following question by reasoning step-by-step based on below context. If you're leaning towards the answer 'yes', include the word 'yes'. If you're leaning to the answer 'no', include the word 'no'. You do not have to be sure.
Is this text an explicit disclosure of whether there is a specific supplier code of conduct?
A supplier code of conduct is a set of ethical standards and principles that a company requires its suppliers to adhere to around issues including but not limited to labor practices, human rights, environmental impacts, ethics, and compliance to align with the company's values.	
Text: {paragraph}	</t>
  </si>
  <si>
    <t>A supplier code of conduct is a set of ethical standards and principles that a company requires its suppliers to adhere to around issues including but not limited to labor practices, human rights, environmental impacts, ethics, and compliance to align with the company's values.</t>
  </si>
  <si>
    <t>Is this text a disclosure of whether there is an explicit and specific supplier code of conduct?</t>
  </si>
  <si>
    <t>We commit that 70% of our 
suppliers by spend, covering 
purchased goods and services 
and capital goods, will set 
science-based targets by 2027. 
of companies for taking 
action to measure and 
reduce climate risk within 
our supply chain
Nasdaq 2022 Sustainability Report Introduction Environmental Social Governance ESG Solutions Community Engagement Appendix
Evaluating and Engaging Our Supply Chain
Nasdaq’s supply chain is the main 
contributor to our carbon footprint, 
accounting for over 60% of our total 2022 
GHG emissions.
Evaluating and engaging 
with our key suppliers and entire value chain 
is key to reaching our net-zero targets.
In 
2022, GHG emissions from our suppliers 
decreased by nine percent from 2021, due 
largely to improved data quality.
As our 
processes mature and acquired companies 
transition on to Nasdaq systems, we expect 
to rely less on assumptions.
Nasdaq also encourages its suppliers to 
adopt sustainability and environmental 
practices in line with our published 
Environmental Practices Statement and the 
Nasdaq Supplier Code of Ethics (Supplier 
Code).
In 2022, Nasdaq asked new 
suppliers and existing top suppliers to attest 
to our Supplier Code, confirming they have 
policies and practices consistent with the 
Supplier Code or, to the extent they do not, 
will adhere to the applicable standards in 
the Supplier Code.
To the extent practical and feasible, 
we expect suppliers to provide us with 
information to support our reporting and 
transparency commitments related to 
sustainability and environmental impacts. 
In 2022, Nasdaq became a CDP Supply 
Chain corporate member and began 
requesting that our top suppliers disclose 
their environmental data through CDP’s 
Climate Change survey.
For our efforts, 
we were recognized by CDP as a Supplier 
Engagement Leader in 2022, placing us 
among the top eight percent of companies 
for taking action to measure and reduce 
climate risk within our supply chain.
We set 
a target to request even more suppliers 
to respond to the survey, including our 
top 150 suppliers in 2023 and top 200 
suppliers in 2024.
As part of our near-term science-based 
emissions reduction targets approved by 
the SBTi in 2022, we pledged that 70% of 
our suppliers by spend, covering purchased 
goods and services and capital goods, will 
set science-based targets by 2027.
As of 
year-end 2022, 37.9% of our suppliers had 
set or committed to set science-based 
targets.
As we request more suppliers to 
respond the CDP Climate Change survey, 
we will encourage them to set science-
based targets of their own.
GRI 204 | GRI 305 | GRI 308 | GRI 308-1 | GRI 308-2 
 SDG 13 
8%
Among the top
of our suppliers had set or 
committed to set science-
based targets as of year-
end 2022
37.9%
32
https://www.nasdaq.com/docs/2020/01/08/Environmental-Practices-Statement.pdf
https://www.nasdaq.com/docs/2022/01/05/Supplier-Code-Ethics.pdf</t>
  </si>
  <si>
    <t>energy consumption</t>
  </si>
  <si>
    <t>renewable energy consumption</t>
  </si>
  <si>
    <t>waste generated</t>
  </si>
  <si>
    <t>water consumption</t>
  </si>
  <si>
    <t>text</t>
  </si>
  <si>
    <t>model_output</t>
  </si>
  <si>
    <t>human_output</t>
  </si>
  <si>
    <t>task</t>
  </si>
  <si>
    <t>Briefly summarize this text about Board oversight of climate-related targets in one sentence: Text: President &amp; Chief Executive Officer Member of the Board of Directors and accountable for reporting to the Board on all risks and opportunities. CEO pay (Pay-for-Performance) is tied to the enterprise strategy and goals, which in recent years have included targets focusing on launching and building out the Company’s ESG products and services. Chief Financial Officer Reports directly into the CEO and oversees many functions related to the governance of climate risks and opportunities including those related to the Company’s reporting on its management of financially material climate-related risks and opportunities and global facilities footprint. Chief Risk &amp; Compliance Officer Reports directly into the CEO and oversees corporate risk functions such as Business Continuity Management and Disaster Recovery. Cross-functional Environmental Working Groups S&amp;P Global Sustainable1 S&amp;P Global Sustainable1 is the new go-to-market name for S&amp;P Global’s ESG Organization and represents our commitment to being the single source of essential sustainability intelligence, helping customers navigate the transition to a low-carbon, sustainable and equitable future. Sustainable1 brings together S&amp;P Global’s resources and full product suite of benchmarking, analytics, evaluations and indices that provide customers with a 360-degree view to help achieve their sustainability goals. This organization will continue to work in tandem with our four divisions to drive growth in S&amp;P Global’s ESG assets and leverage common capabilities to accelerate speed to market. Environmental Action Committee The cross-functional Net-zero Working Group serves as a liaison to the Operating Committee on the strategy, design and implementation of the company’s net-zero commitments. This group consists of a cross-functional team and meets regularly to ensure proper implementation of net-zero goals within the procurement, real estate, strategy, communications and other functions. TCFD Working Group Launched in 2019, sponsored by the CFO, the Committee supports ongoing monitoring and quantification of company-wide climate-related risks and opportunities</t>
  </si>
  <si>
    <t>The Board of Directors at S&amp;P Global has oversight of the company's climate-related targets and is committed to ensuring that the company is taking the necessary steps to reduce its emissions and increase its sustainability efforts.</t>
  </si>
  <si>
    <t>S&amp;P Global's Board has oversight of the company's climate-related targets along with Net-zero Working Group overseeing company’s net-zero commitments.</t>
  </si>
  <si>
    <t>summarization</t>
  </si>
  <si>
    <t>Briefly summarize this text about Board oversight of climate-related targets in one sentence: COMPENSATION, TALENT AND CULTURE COMMITTEE The Compensation, Talent and Culture Committee (Compensation Committee) is responsible for regularly reviewing and annually approving the compensation awarded to our executive officers and other members of senior management. The Compensation Committee also oversees plans for talent management, including talent acquisition and development, progression planning and career progression, to guide management on the company policies relating to diversity, equity and inclusion, corporate culture, resource allocation, resiliency and employee engagement. In 2022, MSCI introduced climate-specific goals for each of our Executive Committee members that are aligned with our commitment to climate change. We believe that the achievement of these goals will help us to reduce our carbon footprint and make progress against our stated goal to achieve net-zero before 2040, as well as deliver on the climate commitments made in connection with our role as a founding member of the NZFSPA. The Compensation Committee annually reviews the achievement of goals by our executive officers, including our CEO, President and COO, CFO, General Counsel and Chief Human Resources Officer MANAGEMENT RESPONSIBILITIES The following members of our management and managementlevel committees are responsible for the day-to-day management of climate-related risks and opportunities. We are committed to a governance structure at the management level that promotes transparency and ensures proper escalation procedures with respect to climate-related issues.</t>
  </si>
  <si>
    <t>The Board of MSCI oversees the achievement of climate-specific goals for Executive Committee members, which are aligned with the company's commitment to climate change.</t>
  </si>
  <si>
    <t>MSCI's Board has oversight of the company's climate-related targets including goal to achieve net-zero before 2040.</t>
  </si>
  <si>
    <t>question_answering</t>
  </si>
  <si>
    <t>classification</t>
  </si>
  <si>
    <t>entity_extraction</t>
  </si>
  <si>
    <t>table_data_extraction</t>
  </si>
  <si>
    <t>Models/Tasks</t>
  </si>
  <si>
    <t>Fine-tuned Flan</t>
  </si>
  <si>
    <t>Base Flan</t>
  </si>
  <si>
    <t>MPT-30B</t>
  </si>
  <si>
    <t>GPT-3.5 Turbo</t>
  </si>
  <si>
    <t>Falcon-40B</t>
  </si>
  <si>
    <t>Parameters</t>
  </si>
  <si>
    <t>Table of model sizes</t>
  </si>
  <si>
    <t>Table of our dataset size</t>
  </si>
  <si>
    <t>Table of evaluation benchmarks</t>
  </si>
  <si>
    <t>Human evaluation table/progress bar</t>
  </si>
  <si>
    <t>Problems?</t>
  </si>
  <si>
    <t xml:space="preserve">Regulations </t>
  </si>
  <si>
    <t>Abstract + Introduction</t>
  </si>
  <si>
    <t>Small teams</t>
  </si>
  <si>
    <t>Data volume, highly unstructured and dispersed across many docs</t>
  </si>
  <si>
    <t>Complex and scientific discipline</t>
  </si>
  <si>
    <t>Why LLM + Sustainability = …</t>
  </si>
  <si>
    <t>Provide knowledge about regulation</t>
  </si>
  <si>
    <t>Regulation</t>
  </si>
  <si>
    <t xml:space="preserve">Related work </t>
  </si>
  <si>
    <t>Data collection</t>
  </si>
  <si>
    <t xml:space="preserve">answer choices </t>
  </si>
  <si>
    <t>correct answer</t>
  </si>
  <si>
    <t xml:space="preserve">flan correct answer </t>
  </si>
  <si>
    <t xml:space="preserve">chatgpt correct answer </t>
  </si>
  <si>
    <t>Claude 2</t>
  </si>
  <si>
    <t>Research shows that companies with long standing good practice in terms of sustainability</t>
  </si>
  <si>
    <t>A. Outperform their peers in both accounting performance and stock markets returns. B. Underperform their peers in accounting performance and stock markets returns. C. Outperform their peers in accounting performance but underperform in stock market returns. D. Underperform their peers in accounting performance and outperforms in stock markets returns.</t>
  </si>
  <si>
    <t>A</t>
  </si>
  <si>
    <t>A. Outperform their peers in both accounting performance and stock markets returns.</t>
  </si>
  <si>
    <t>Justin runs an equity fund for a large insurance company which has signed on to the UN Global Compact Principles and the Principles for Responsible Investment. His investment strategy will need to:</t>
  </si>
  <si>
    <t xml:space="preserve"> a. avoid companies which do not adhere to Task Force on Climate-related Financial Disclosures guidelines b. screen the portfolio on environmental issues c. incorporate ESG issues into the investment process d. invest in companies which adhere to human rights principles</t>
  </si>
  <si>
    <t>D</t>
  </si>
  <si>
    <t>D. iii and iv</t>
  </si>
  <si>
    <t>Which UK body is responsible for issuing the Stewardship Code</t>
  </si>
  <si>
    <t>A. The Financial Conduct Authority (FCA). B. The Financial Policy Committee (FPC). C. The Financial Ombudsman Service (FOS). D. The Financial Reporting Council (FRC).</t>
  </si>
  <si>
    <t>D. The Financial Reporting Council (FRC)</t>
  </si>
  <si>
    <t>A Sovereign Wealth Fund selecting an investment manager with an ESG strategy is likely to focus more on the manager’s approach to:</t>
  </si>
  <si>
    <t>A. ESG engagement and stewardship. B. Integrating MSCI data while ESG scoring the portfolio. C. Liquidity of the portfolio and short-term performance. D. Quantitative analysis of portfolio attribution vs. the benchmark.</t>
  </si>
  <si>
    <t>A. ESG engagement and stewardship</t>
  </si>
  <si>
    <t>Which of these least reflects how qualitative ESG data is used in company analysis?</t>
  </si>
  <si>
    <t>A. By adjusting a valuation. B. By adding an opinion to an investment thesis. C. By modifying a financial model. D. By determining the value at risk for the company.</t>
  </si>
  <si>
    <t>D. By determining the value at risk for the company.</t>
  </si>
  <si>
    <t>Adjusting the Discounted Cash Flow when integrating ESG into traditional financial analysis is:</t>
  </si>
  <si>
    <t>A. Not valid at country level. B. Valid at the level of company, sector or country. C. Valid only at the level of specific company. D. Not valid at sector level.</t>
  </si>
  <si>
    <t>B</t>
  </si>
  <si>
    <t>B. Valid at the level of company, sector or country.</t>
  </si>
  <si>
    <t>Which action would be undertaken first by an investor wanting to follow an engagement strategy with a company in a cost-effective way?</t>
  </si>
  <si>
    <t>A. Defining the scope of engagement and prioritising engagement activities. B. Developing a clear process which articulates realistic goals. C. Adapting the engagement process to the local context. D. Framing the engagement topic into a broader strategy discussion.</t>
  </si>
  <si>
    <t>A. Defining the scope of engagement and prioritising engagement activities.</t>
  </si>
  <si>
    <t>Which comment best reflects the inclusion of 'bad actor' companies which have poor ESG scores in ESG mutual funds?</t>
  </si>
  <si>
    <t>A. Bad actors are never included. B. Bad actors are rarely included. C. Bad actors are often included. D. Bad actors will always be included.</t>
  </si>
  <si>
    <t xml:space="preserve">C </t>
  </si>
  <si>
    <t>C. Bad actors are often included.</t>
  </si>
  <si>
    <t>A private wealth manager uses a data provider to screen out companies involved with tobacco and finds that the process eliminates nearly all consumer companies. As consumer companies are a large percentage of the benchmark index, the manager would prefer not to eliminate the whole sector. What method would be the most precise to reduce the number of companies which are screened out?</t>
  </si>
  <si>
    <t>A. GICS 15 Screening regarding tobacco. B. ESG rating agency data regarding the financial materiality of tobacco. C. Percentage of company revenue related to tobacco as agreed with the client. D. Standard industry classification for tobacco companies</t>
  </si>
  <si>
    <t>C</t>
  </si>
  <si>
    <t>C. Percentage of company revenue related to tobacco as agreed with the client.</t>
  </si>
  <si>
    <t>What is an indirect environmental impact of a paper company cutting trees and transporting them to its production plant?</t>
  </si>
  <si>
    <t>A. Carbon emissions from the haulage lorries. B. A natural regulator of carbon dioxide is destroyed, C. Deforestation. D. Local species are disturbed.</t>
  </si>
  <si>
    <t>A. Carbon emissions from the haulage lorries.</t>
  </si>
  <si>
    <t>Which approach is most likely to result in an analyst aggregating data into an ESG score?</t>
  </si>
  <si>
    <t>A. Company specific research. B. Fundamental analysis. C. Stock picking. D. Quantitative modelling.</t>
  </si>
  <si>
    <t>D. Quantitative modelling.</t>
  </si>
  <si>
    <t>What impact will a positive ESG rating have on a company's cost of capital?</t>
  </si>
  <si>
    <t>A. A lower cost of capital. B. No change to the cost of capital. C. A higher cost of capital. D. A more volatile cost of capital.</t>
  </si>
  <si>
    <t>A. A lower cost of capital.</t>
  </si>
  <si>
    <t>Which of the following sectors have the greatest risk of increased insurance costs due to physical climate change?</t>
  </si>
  <si>
    <t>A. Construction and materials. B. Food and beverage. C. Media and technology. D. Travel and leisure.</t>
  </si>
  <si>
    <t>D. Travel and leisure.</t>
  </si>
  <si>
    <t>ABC Investment Management owns a 2% stake in a large telecom company, which is in the media due to a surge in employee suicides attributed to pressures in the workplace. Mary, a senior analyst at ABC Investment Management, would like to engage with the company on the issue and sees that a quarterly earnings conference call is coming up. What should Mary do before the quarterly conference call?</t>
  </si>
  <si>
    <t>A. Arrange a pre-meeting call with the company's investor relations representative. B. Contact the Investor Forum. C. Establish clear objectives. D. Request a meeting with the chairman of the Board.</t>
  </si>
  <si>
    <t>C. Establish clear objectives</t>
  </si>
  <si>
    <t>Which of the following is not generally expected for companies which score well on ESG metrics relative to companies scoring less well?</t>
  </si>
  <si>
    <t>A. They are better able to anticipate environmental change risks and opportunities. B. They enjoy valuation premiums due to changing investor concerns and preferences. C. They are more disposed to longer term strategic thinking and planning. D. They are more likely to grow rapidly and offer higher short term returns.</t>
  </si>
  <si>
    <t>D. They are more likely to grow rapidly and offer higher short term returns.</t>
  </si>
  <si>
    <t>What is the result of an analyst failing to correctly model the risks and opportunities associated with ESG?</t>
  </si>
  <si>
    <t>A. Systematic underestimation of high ESG performers and overestimation of ESG under performers. B. Systematic overestimation of both high ESG performers and ESG under performers. C. Systematic underestimation of both high ESG performers and ESG under performers. D. Systematic overestimation of high ESG performers and underestimation of ESG under performers.</t>
  </si>
  <si>
    <t>A. Systematic underestimation of high ESG performers and overestimation of ESG under performers.</t>
  </si>
  <si>
    <t>CBT’s Annual General Meeting (AGM) is two months away. Patrick Weeze is a portfolio manager who owns a significant number of stocks of CBT in his portfolio. His fund is a concentrated portfolio with high idiosyncratic risk and, as a result, he believes that a detailed analysis of the governance of each of his stocks is paramount to its long-term performance. He reviews the relevant documentation regarding CBT’s AGM and notes the following: − CBT provides information on the total amount of CEO remuneration, but no detail on the Key Performance Indicators (KPIs) that influence variable compensation. The CEO’s total compensation last year was GBP 1.2 million, 30% of which was fixed salary. − CBT currently has 10 individuals sitting on its board, 3 of whom are independent. The Chairman is the former CEO who stepped down last year. − One of the resolutions to be voted at the AGM was put forward by a minority shareholder. The investor asks the company to produce a report on how climate change may affect the company’s strategy and financial stability in the long-term. Patrick is discussing CBT's financial model with his financial analyst. He asks the analyst to consider how the model may take into account the KPIs for the CEO's variable remuneration which are not disclosed. He is presented with 4 options. Which one is he most likely to select to implement?</t>
  </si>
  <si>
    <t>A. Increase the company's estimated costs for next year by an additional GBP 1.2 million to account for the lack of transparency regarding the KPIs. B. Reduce the company’s current total costs by GBP 360,000, as there are no concerns regarding the fixed salary portion of the compensation. C. Increase the cost of capital from 4.6% to 4.8% to reflect the increased risk stemmed from uncertainty around alignment of interest. D. Decrease the cost of capital from 4.6% to 4.4% to reflect the reduced level of certainty around alignment of interest.</t>
  </si>
  <si>
    <t>C. Increase the cost of capital from 4.6% to 4.8% to reflect the increased risk stemmed from uncertainty around alignment of interest.</t>
  </si>
  <si>
    <t>CBT's Annual General Meeting (AGM) is two months away. Patrick Weeze is a portfolio manager who owns a significant number of stocks in CBT in his portfolio. His fund is a concentrated portfolio with high idiosyncratic risk and, as a result, he believes that a detailed analysis of the governance of each of his stocks is paramount to its long-term performance. He reviews the relevant documentation regarding CBT's AGM and notes the following: − CBT provides information on the total amount of CEO remuneration, but no detail on the Key Performance Indicators (KPIs) that influence variable compensation. The CEO’s total compensation last year was GBP 1.2 million, 30% of which was fixed salary. − CBT currently has 10 individuals sitting on its board, 3 of whom are independent. The Chairman is the former CEO who stepped down last year. − One of the resolutions to be voted at the AGM was put forward by a minority shareholder. The investor asks the company to produce a report on how climate change may affect the company’s strategy and financial stability in the long-term. Patrick believes that the Chair cannot be considered as an independent member of the board. He schedules an engagement meeting with the Chair to discuss the matter. What could be the most favourable outcome from a governance perspective?</t>
  </si>
  <si>
    <t>A. The Chair steps down and the CEO assumes the chairmanship, and one of the independent directors becomes the lead independent director. B. The Chair steps down and remains on the board, and one of the existing independent directors is elected Chair. C. An additional independent director is added to the board to increase the level of independence. D. The Chair steps down from the Board and the Chair role, and a newly-elected independent director is appointed Chair.</t>
  </si>
  <si>
    <t>D. The Chair steps down from the Board and the Chair role, and a newly-elected independent director is appointed Chair.</t>
  </si>
  <si>
    <t>CBT's Annual General Meeting (AGM) is two months away. Patrick Weeze is a portfolio 
manager who owns a significant number of stocks in CBT in his portfolio. His fund is a 
concentrated portfolio with high idiosyncratic risk and, as a result, he believes that a 
detailed analysis of the governance of each of his stocks is paramount to its long-term 
performance. He reviews the relevant documentation regarding CBT's AGM and notes 
the following: 
− CBT provides information on the total amount of CEO remuneration, but no detail on the 
Key Performance Indicators (KPIs) that influence variable compensation. The CEO’s total 
compensation last year was GBP 1.2 million, 30% of which was fixed salary. 
− CBT currently has 10 individuals sitting on its board, 3 of whom are independent. The 
Chairman is the former CEO who stepped down last year. 
− One of the resolutions to be voted at the AGM was put forward by a minority shareholder. 
The investor asks the company to produce a report on how climate change may affect the 
company’s strategy and financial stability in the long-term. 
When Patrick attempts to set up a call with CBT's Investor Relations to discuss 
governance matters, they push back suggesting that these have no relevance to the 
company. Which argument can Patrick use to best highlight the importance of appropriate 
governance to enterprises?</t>
  </si>
  <si>
    <t>A. A meta study by Friede, Busch and Bassen has shown that the majority of studies showed a positive correlation between governance and corporate financial performance. B. The CFA Institute's 2017 ESG survey showed that governance has the strongest correlation with company margin growth. C. Enron's case provides evidence that governance is simple and failures usually link to one single factor. D. Bernile, Bhagwat and Yonker's 2017 study concludes that board diversity adds to governance complexity, thus destroying company value.</t>
  </si>
  <si>
    <t>A. A meta study by Friede, Busch and Bassen has shown that the majority of studies showed a positive correlation between governance and corporate financial performance.</t>
  </si>
  <si>
    <t>CBT's Annual General Meeting (AGM) is two months away. Patrick Weeze is a portfolio manager who owns a significant number of stocks in CBT in his portfolio. His fund is a concentrated portfolio with high idiosyncratic risk and, as a result, he believes that a detailed analysis of the governance of each of his stocks is paramount to its long-term performance. He reviews the relevant documentation regarding CBT's AGM and notes the following: − CBT provides information on the total amount of CEO remuneration, but no detail on the Key Performance Indicators (KPIs) that influence variable compensation. The CEO’s total compensation last year was GBP 1.2 million, 30% of which was fixed salary. − CBT currently has 10 individuals sitting at its board, 3 of whom are independent. The Chairman is the former CEO who stepped down last year. − One of the resolutions to be voted at the AGM was put forward by a minority shareholder. The investor asks the company to produce a report on how climate change may affect the company’s strategy and financial stability in the long-term. What is Patrick least likely to take into consideration when making a decision regarding his vote on the shareholder resolution?</t>
  </si>
  <si>
    <t>A. The extent to which the company and its business model is exposed to climate change risks. B. Whether, and to what extent, the company already provides information on the topic of climate change risk. C. The company's response on whether it supports the resolution and why. D. Whether this resolution falls under the category of governance.</t>
  </si>
  <si>
    <t>D. Whether this resolution falls under the category of governance</t>
  </si>
  <si>
    <t>What do corporate governance structures in France and the US have in common?</t>
  </si>
  <si>
    <t>A. Chief Executive and Chairman of the Board are typically one person. B. National corporate governance codes. C. Statutory auditors in addition to independent auditors. D. Two-tier boards.</t>
  </si>
  <si>
    <t>A. Chief Executive and Chairman of the Board are typically one person.</t>
  </si>
  <si>
    <t>Which of the following is an example of climate change mitigation?</t>
  </si>
  <si>
    <t>A. Building a flood defence. B. Developing drought resistant crop. C. Retrofitting a building. D. Desalinating water.</t>
  </si>
  <si>
    <t>C. Retrofitting a building.</t>
  </si>
  <si>
    <t>Sienna reviews a large retailer faced with a sex equality law suit with a potential £4 billion in pay out claims. How should she adjust her financial model?</t>
  </si>
  <si>
    <t>A. Adjust the employee expense line to reflect £4 billion in pay out over 10 years. B. Do nothing as the company has a good case and may not have to pay. C. Lower the discount rate to reflect the risk of pay outs. D. Raise the cost of capital to reflect the risk of pay outs.</t>
  </si>
  <si>
    <t>D. Raise the cost of capital to reflect the risk of pay outs.</t>
  </si>
  <si>
    <t>Which of these statements best describes responsible investing?</t>
  </si>
  <si>
    <t>A. Targeted investment returns with certain investments being negatively screened. B. ESG factors taken into account to mitigate risk with a focus on financial return. C. Investments made in a way that captures returns while achieving an intentional effect. D. ESG factors taking into account to mitigate risk with a focus on capturing ESG opportunities</t>
  </si>
  <si>
    <t>B. ESG factors taken into account to mitigate risk with a focus on financial return.</t>
  </si>
  <si>
    <t>Bill is a philanthropist who is approached by four charitable organisations that each claim to have a solution that reduces mortality by 15% in their specific area of focus if they receive $300 million. Bill's aim is to reduce mortality rates as much as possible. Which one of the following charities should he choose?</t>
  </si>
  <si>
    <t>A. A charity focussing on drought. B. A charity focussing on malaria. C. A charity focussing on pollution. D. A charity focussing on violence.</t>
  </si>
  <si>
    <t>C. A charity focussing on pollution.</t>
  </si>
  <si>
    <t>How can climate-related scenario analysis be used as an effective tool in portfolio management? i. By pricing climate risk. ii. By assessing the portfolio's alignment with the Paris Agreement temperature target. iii. By bottom-up analysis of individual companies in the portfolio. iv. By producing standardised data for performance measurement.</t>
  </si>
  <si>
    <t>A. i B. i and ii C. i, ii and iii D. i, ii, iii and iv</t>
  </si>
  <si>
    <t>C. i, ii and iii</t>
  </si>
  <si>
    <t>A company which produces bottled water and pledges to use 50% recycled plastics is using:</t>
  </si>
  <si>
    <t>A. A circular economy approach. B. A natural capital approach. C. A supply chain disruption approach. D. A use, make, dispose economy approach.</t>
  </si>
  <si>
    <t>A. A circular economy approach.</t>
  </si>
  <si>
    <t>Which comment on the data included in ESG integration databases is most accurate?</t>
  </si>
  <si>
    <t>A. ESG data must be audited to be valid. B. Input data across similar asset classes is consistent. C. Data outputs will correlate with data from other ESG databases. D. Incomplete ESG data used can be material.</t>
  </si>
  <si>
    <t>D. Incomplete ESG data used can be material</t>
  </si>
  <si>
    <t>Alex is a corporate bond analyst at AVX Investment Management and is responsible for a £4 billion portfolio of utility bonds with a range of credit ratings and ESG scores. He has been directed to engage with all the utility companies, whose bonds TBD holds, on their plans to reduce carbon emissions. Using the PRI’s guide for ESG engagement, Alex should start with the</t>
  </si>
  <si>
    <t>A. Largest holdings with high ESG scores. B. Largest holdings with low ESG scores. C. Smallest holdings with low credit ratings. D. Smallest holdings with high ESG scores.</t>
  </si>
  <si>
    <t>B. Largest holdings with low ESG scores.</t>
  </si>
  <si>
    <t>Lemon is a Japanese telecommunications company which recently acquired a local company that manufactures smart phones, TTN, in an effort to integrate vertically and provide clients with a better offer. A significant part of Lemon’s clientele acquisition strategy is a focus on older individuals, and it wants to provide them with phones that better address their needs. TTN, unlike most of its peers, owns the manufacturing plants which supply parts for its phones. 80% of TTN’s manufacturing personnel are contractors, while the industry average is 40%. Two years ago, TTN was subject to a non-governmental organisation (NGO) campaign requesting that it offered contractors working conditions and pay similar to that of employees. TTN agreed to most of the NGO’s requests. Which social mega trend is most likely to affect Lemon's revenues?</t>
  </si>
  <si>
    <t>A. TTN is most likely to benefit from increased demand from offshoring as globalisation increases. B. Costs will decrease as manufacturing jobs are cut due to increased automation. C. The alignment of TTN’s business model to provide a number of new revenue generating services to support an older clientele that lives longer. D. Increase in social media will naturally lead to increased advertisement sale by TTN.</t>
  </si>
  <si>
    <t>C. The alignment of TTN’s business model to provide a number of new revenue generating services to support an older clientele that lives longer.</t>
  </si>
  <si>
    <t>Lemon is a Japanese telecommunications company which recently acquired a local company that manufactures smart phones, TTN, in an effort to integrate vertically and provide clients with a better offer. A significant part of Lemon’s clientele acquisition strategy is a focus on older individuals, and it wants to provide them with phones that better address their needs. TTN, unlike most of its peers, owns the manufacturing plants which supply parts for its phones. 80% of TTN’s manufacturing personnel are contractors, while the industry average is 40%. Two years ago, TTN was subject to a non-governmental organisation (NGO) campaign requesting that it offers contractors working conditions and pay similar to that of employees. TTN agreed to most of the NGO’s requests. How is Lemon’s labour rights risk impacted by characteristics that are company-specific?</t>
  </si>
  <si>
    <t>A. Its risk is lower than industry average because a lower percentage of its work force is direct employees. B. Its risk is fully mitigated by addressing the NGO’s concerns. C. Lemon’s labour rights risk is reduced by the fact that older individuals have less concerns about company’s social corporate responsibility than the younger generation. D. By not outsourcing its manufacturing, Lemon retains greater control of its supply chain and thus labour-related risks.</t>
  </si>
  <si>
    <t>D. By not outsourcing its manufacturing, Lemon retains greater control of its supply chain and thus labour-related risks.</t>
  </si>
  <si>
    <t>Lemon is a Japanese telecommunications company which recently acquired a local company that manufactures smart phones, TTN, in an effort to integrate vertically and provide clients with a better offer. A significant part of Lemon’s clientele acquisition strategy is a focus on older individuals, and it wants to provide them with phones that better address their needs. TTN, unlike most of its peers, owns the manufacturing plants which supply parts for its phones. 80% of TTN’s manufacturing personnel are contractors, while the industry average is 40%. Two years ago, TTN was subject to a non-governmental organisation (NGO) campaign requesting that it offers contractors working conditions and pay similar to that of employees. TTN agreed to most of the NGO’s requests. How might a portfolio manager interpret the financial implications of TTN agreeing to offer contractors the same working conditions as employees?</t>
  </si>
  <si>
    <t>A. The change may increase cost in the short and long-term but may reduce risk of price volatility due to reduced labour disruption. B. Potential financial implications cannot be estimated without the company disclosing the change to contractors’ salary. C. Costs and risks remain the same as only employees’ salary and working conditions impact the company. D. The cost of capital is increased as a result of providing greater rights to contractors.</t>
  </si>
  <si>
    <t>A. The change may increase cost in the short and long-term but may reduce risk of price volatility due to reduced labour disruption.</t>
  </si>
  <si>
    <t>Lemon is a Japanese telecommunications company which recently acquired a local company that manufactures smart phones, TTN, in an effort to integrate vertically and provide clients with a better offer. A significant part of Lemon’s clientele acquisition strategy is a focus on older individuals, and it wants to provide them with phones that better address their needs. TTN, unlike most of its peers, owns the manufacturing plants which supply parts for its phones. 80% of TTN’s manufacturing personnel are contractors, while the industry average is 40%. Two years ago, TTN was subject to a non-governmental (NGO) campaign requesting that it offers contractors working conditions and pay similar to that of employees. TTN agreed to most of the NGO’s requests. Lemon publicises on its website and in its annual report that it regularly performs audits across its operations to ensure compliance with the International Labour Organisation (ILO)’s International Labour Standards. Which of the following actions would be a breach of the Standards?</t>
  </si>
  <si>
    <t>A. Taking a pro-union stance while negating the right of employees to negotiate individually. B. Providing equal remuneration for equal work. C. Abolishing child labour even though that would generate jobs. D. Publishing a policy against discrimination in employment or occupation.</t>
  </si>
  <si>
    <t>A. Taking a pro-union stance while negating the right of employees to negotiate individually.</t>
  </si>
  <si>
    <t>Exclusionary screening is historically most common in which of these regions?</t>
  </si>
  <si>
    <t>A. Europe. B. United States. C. Asia. D. Canada.</t>
  </si>
  <si>
    <t>A. Europe.</t>
  </si>
  <si>
    <t>The Bangladesh Investor Initiative is intended to address which social factor?</t>
  </si>
  <si>
    <t>A. Forced labour. B. Freedom of association. C. Health and safety. D. Living wage.</t>
  </si>
  <si>
    <t>C. Health and safety.</t>
  </si>
  <si>
    <t>What positive effect can the globalisation of economies have on business models?</t>
  </si>
  <si>
    <t>A. Dependence on one or two efficient countries to supply an industry globally. B. Increased cross-border movement of goods and services. C. Increased efficiency and lower costs. D. Offshoring to developing countries can cause an industry to disappear in a developed country.</t>
  </si>
  <si>
    <t>C. Increased efficiency and lower costs</t>
  </si>
  <si>
    <t>Which form of risk will not be lowered by the integration of ESG into a firm's investment process?</t>
  </si>
  <si>
    <t>A. Market risk. B. Firm level reputational risk. C. Investment risk. D. Investment level reputational risk.</t>
  </si>
  <si>
    <t>A. Market risk.</t>
  </si>
  <si>
    <t>Why do most corporate governance codes require audits?</t>
  </si>
  <si>
    <t>A. To guarantee there is no fraud in a company's financial statements. B. To provide a detailed list of accounting anomalies to shareholders. C. To provide an independent review of financials prepared by management. D. To verify the financials of all subsidiaries of a company.</t>
  </si>
  <si>
    <t>C. To provide an independent review of financials prepared by management.</t>
  </si>
  <si>
    <t>What name is given to a company's failure to manage risk which is manageable?</t>
  </si>
  <si>
    <t>A. Management decomposition. B. Management exposure. C. Management risk. D. Management gap.</t>
  </si>
  <si>
    <t>D. Management gap.</t>
  </si>
  <si>
    <t>Which of these ESG service providers does not produce company-level ESG ratings?</t>
  </si>
  <si>
    <t>A. Real Impact Tracker. B. Inrate. C. Thomson Reuters. D. MSCI.</t>
  </si>
  <si>
    <t>A. Real Impact Tracker.</t>
  </si>
  <si>
    <t>What corporate governance practice should be included in the process for directors of a company to be made accountable to shareholders?</t>
  </si>
  <si>
    <t>A. Automatic rollover of the financial auditor’s services each year. B. Independent directors made accountable to executive directors. C. Review of the accounts by the Board at the Annual General Meeting (AGM). D. Setting executive remuneration in line with industry standards</t>
  </si>
  <si>
    <t>C. Review of the accounts by the Board at the Annual General Meeting (AGM).</t>
  </si>
  <si>
    <t>Which of these ESG issues included in a materiality map would be best described as a Social issue?</t>
  </si>
  <si>
    <t>A. Resource management. B. Business ethics and culture. C. Executive remuneration. D. Health and safety.</t>
  </si>
  <si>
    <t>D. Health and safety</t>
  </si>
  <si>
    <t>Scores from an ESG factor scorecard will always be:</t>
  </si>
  <si>
    <t>A. Adjusted by practitioners before use. B. Determined by the investment analyst. C. Scaled between zero and ten. D. Quantitative rather than qualitative.</t>
  </si>
  <si>
    <t>D. Quantitative rather than qualitative.</t>
  </si>
  <si>
    <t>An ongoing situation for a company which has negative ESG implications is called a:</t>
  </si>
  <si>
    <t>A. Chronic case. B. Controversy case. C. Current case. D. Catastrophic case.</t>
  </si>
  <si>
    <t>B. Controversy case.</t>
  </si>
  <si>
    <t>Given that an analyst is able to judge the materiality of an ESG factor, which of the following is true?</t>
  </si>
  <si>
    <t>A. It will then be possible to assess the level of impact of the ESG factor. B. Other analysts with the same data will make the same materiality judgement. C. The interaction of the ESG factor with financial performance will still be uncertain. D. Cultural factors are unlikely to play a part in their judgement of materiality.</t>
  </si>
  <si>
    <t>C. The interaction of the ESG factor with financial performance will still be uncertain</t>
  </si>
  <si>
    <t>In what way is Justin least likely to conduct scenario testing to refine his assessment of the companies’ climate risk?</t>
  </si>
  <si>
    <t>A. Justin could impose a shadow carbon tax in his financial model to quantify any potential impact on the companies' margins. B. Justin could conduct a scenario analysis and obtain information on how a 4 degree Celsius change would impact agricultural output in the countries to which Company A and Company B are exposed to and include that in the financial model. C. Justin could quantify the short-term impact of extreme weather events on investor sentiment regarding these industries and agricultural products. D. Justin could incorporate the impact of climate change and risk purely on the socio_x0002_economic conditions of workers in the affected regions.</t>
  </si>
  <si>
    <t>D. Justin could incorporate the impact of climate change and risk purely on the socio_x0002_economic conditions of workers in the affected regions.</t>
  </si>
  <si>
    <t>Natasha completes a review of a large UK based oil company and assigns it an improving ESG score because she is impressed by the steps it is taking to meet the Paris Agreement. Nevertheless, she is concerned about the industry’s long-term outlook and potential for stranded assets and increased cost of capital. What action should Natasha reflect in her valuation of the company?</t>
  </si>
  <si>
    <t>A. Adjust her discounted cash flow (DCF) model to reflect a higher cost of capital. B. Adjust her discounted cash flow (DCF) model in later years to reflect write offs for stranded assets. C. None, the oil price is the only real variable that matters. D. Adjust her discounted cash flow (DCF) model to reflect a higher cost of capital and write offs for stranded assets in later years.</t>
  </si>
  <si>
    <t>D. Adjust her discounted cash flow (DCF) model to reflect a higher cost of capital and write offs for stranded assets in later years.</t>
  </si>
  <si>
    <t>A credit portfolio manager is considering buying a Turkish phone company which he believes has strong credit quality as reflected in single-A credit ratings assigned by two credit rating agencies. Simultaneously, the emerging markets team is closely monitoring election results in Turkey which has led to bond market volatility. Why would the portfolio manager decide not to buy the phone company bonds?</t>
  </si>
  <si>
    <t>A. High Governance Score for Turkey. B. Low Governance Score for the management of the phone company. C. Low Governance score for Turkey. D. High Governance Score for the management of the phone company.</t>
  </si>
  <si>
    <t>C. Low Governance score for Turkey.</t>
  </si>
  <si>
    <t>What are the advantages of using mapping techniques when comparing two portfolios for ESG risk?</t>
  </si>
  <si>
    <t>A. Both portfolios can be shown on the same map. B. Increased ESG disclosure is making mapping more uniform. C. The materiality aspect of mapping is standardised. D. Specific elements of E, S, and G can be compared across sectors.</t>
  </si>
  <si>
    <t>D. Specific elements of E, S, and G can be compared across sectors.</t>
  </si>
  <si>
    <t>An analyst valuing a company against its peers should make which of the following adjustments to the price-to-earnings ratio (P/E) to integrate strong ESG characteristics?</t>
  </si>
  <si>
    <t>A. Add a premium versus its peers. B. Add a discount versus its peers. C. Make no adjustment versus its peers. D. Add either a discount or premium.</t>
  </si>
  <si>
    <t>A. Add a premium versus its peers</t>
  </si>
  <si>
    <t>What are the three parts of the Triple Bottom Line?</t>
  </si>
  <si>
    <t>A. Ecological, Social and Governance. B. Social, Environmental and Financial. C. Ecological, Governance and Financial. D. Social, Financial and Governance.</t>
  </si>
  <si>
    <t>B. Social, Environmental and Financial.</t>
  </si>
  <si>
    <t>Which of these Investment approaches would be most suitable for an investor who wants to ensure that his/her personal, social and moral views direct the investment decisions?</t>
  </si>
  <si>
    <t>A. Ethical investing. B. Thematic investing. C. Impact investing. D. Responsible investing.</t>
  </si>
  <si>
    <t>A. Ethical investing.</t>
  </si>
  <si>
    <t>Jane is an equity analyst at AVX Asset Management and covers a large public oil company which she needs to assign an environmental score to. The company says it is addressing carbon emissions, but refuses to disclose exactly what measures it is taking. A logical next step for Jane would be to</t>
  </si>
  <si>
    <t>A. Look at the company’s financial statements and try to draw conclusions. B. Recommend that AVX sell the company’s shares. C. Suggest that AVX join the Investor Forum and use collective action to encourage the company to improve its disclosure. D. Take the company’s word for it and assign a high environmental score.</t>
  </si>
  <si>
    <t>C. Suggest that AVX join the Investor Forum and use collective action to encourage the company to improve its disclosure.</t>
  </si>
  <si>
    <t>The physical impacts of climate change are most likely to be identified as a key ESG driver for which form of institutional investor?</t>
  </si>
  <si>
    <t>A. An actively managed mutual fund. B. A life insurance company. C. A pension fund. D. A property and general insurance company.</t>
  </si>
  <si>
    <t>D. A property and general insurance company.</t>
  </si>
  <si>
    <t>Which best describes stewardship of assets over which someone acts as the guardian?</t>
  </si>
  <si>
    <t>A. The process of intervention to avoid deterioration of the long-term value of the assets. B. The reconciliation of the assets with records produced by third party holders of the assets. C. The putting in place of a physical measure to Physically protect the assets from theft. D. The investor actively participating at the annual general meeting.</t>
  </si>
  <si>
    <t>A. The process of intervention to avoid deterioration of the long-term value of the assets.</t>
  </si>
  <si>
    <t>Which of the following challenges can auditors face in preventing fraud in company accounts? i. Auditors may be misled by management. ii. Auditors rely to a great degree on the accuracy of a company’s internal accounting system. iii. Audits are based on samples and not all figures are reviewed. iv. Only segments of a company’s business that are deemed material are reviewed.</t>
  </si>
  <si>
    <t>A. ii and iii. B. iii and iv. C. i, ii and iii. D. i, ii, iii and iv.</t>
  </si>
  <si>
    <t>D. i, ii, iii and iv.</t>
  </si>
  <si>
    <t>The correlation between positive ESG factors and financial performance is most commonly observed to be:</t>
  </si>
  <si>
    <t>A. Negative. B. Close to zero. C. Positive. D. Highly variable.</t>
  </si>
  <si>
    <t>C. Positive.</t>
  </si>
  <si>
    <t>Under the fiduciary duty of pension funds in the USA, the Employment Retirement Income Security Act (ERISA) expects that pension funds:</t>
  </si>
  <si>
    <t>A. Engage with companies and vote at general meetings. B. Engage with companies but do not vote at general meetings. C. Are passive investors in companies and vote only on material issues. D. Are passive investors and do not vote at general meetings.</t>
  </si>
  <si>
    <t>A. Engage with companies and vote at general meetings.</t>
  </si>
  <si>
    <t>Which of the following is not an escalation measure that can be used across all asset classes?</t>
  </si>
  <si>
    <t>A. Formally adding the company to an exclusion list. B. Proxy voting at a General Meeting. C. Making a public statement in advance of a General Meeting. D. Seeking governance improvements through legal methods.</t>
  </si>
  <si>
    <t>B. Proxy voting at a General Meeting.</t>
  </si>
  <si>
    <t>Sharon is the Chief Investment Officer of BCM, a boutique asset manager that primarily invests in UK equities. BCM has a small stake in RTC media company which has not been efficient in removing terrorist-related content circulated on its social networking website. Since BCM’s resources are limited, Sharon decides to join the Investor Forum, which will allow her to:</t>
  </si>
  <si>
    <t>A. Avoid direct interaction with RTC. B. Benefit from the Investor Forum’s advisory services. C. Draw investor attention to RTC’s terrorist-related content. D. Initiate a joint resolution to gain control of RTC.</t>
  </si>
  <si>
    <t>C. Draw investor attention to RTC’s terrorist-related content.</t>
  </si>
  <si>
    <t>A large US tobacco company has resisted engagement attempts by an investor forum to influence it to encourage people to quit smoking. The investor forum has now put an item on the upcoming AGM agenda proposing a new set of board members. The current board has reviewed its position and decides it:</t>
  </si>
  <si>
    <t>A. May seek a ruling from the Securities and Exchange Commission (SEC) to have the item removed from the agenda. B. Must leave the item on the agenda. C. Should make the agenda public before the meeting. D. Should resign before the AGM.</t>
  </si>
  <si>
    <t>A. May seek a ruling from the Securities and Exchange Commission (SEC) to have the item removed from the agenda.</t>
  </si>
  <si>
    <t>The CFA Institute and CFA UK define ESG integration as the</t>
  </si>
  <si>
    <t>A. Explicit systematic inclusion of ESG factors in investment analysis and investment decisions. B. Exclusion of securities from client portfolios, which fall below specified minimum standards. C. Prioritisation of ESG factors ahead of all other client considerations during the investment process. D. Requirement to refer to ESG factors at all stages of the investment process.</t>
  </si>
  <si>
    <t>A. Explicit systematic inclusion of ESG factors in investment analysis and investment decisions.</t>
  </si>
  <si>
    <t>Which approach to ESG investing would require the most intensive use of resources by an investment manager?</t>
  </si>
  <si>
    <t>A. Negative screening. B. Active ownership. C. Best-in-class. D. Thematic investing.</t>
  </si>
  <si>
    <t>B. Active ownership.</t>
  </si>
  <si>
    <t>An ESG portfolio in government bonds could drive allocation towards</t>
  </si>
  <si>
    <t>A. High yielding, high volatility bonds. B. High yielding, low volatility bonds. C. Low yielding, high volatility bonds. D. Low yielding, low volatility bonds.</t>
  </si>
  <si>
    <t>D. Low yielding, low volatility bonds.</t>
  </si>
  <si>
    <t>Caroline runs a portfolio, which screens out securities with low ESG scores from the benchmark index. She then reweights the portfolio with the remaining securities according to their market capitalisations. To address tracking error, she runs a portfolio optimisation programme. Has the tracking error issue been resolved?</t>
  </si>
  <si>
    <t>A. No, she should apply a strong ESG tilt to the portfolio. B. Yes, but the portfolio is now overweight securities that correlate with omitted securities. C. Yes, the removal of a small portion of securities from the benchmark will not impact relative performance in the long run. D. Yes, this strategy generally outperforms its benchmark when the excluded securities underperform.</t>
  </si>
  <si>
    <t>B. Yes, but the portfolio is now overweight securities that correlate with omitted securities.</t>
  </si>
  <si>
    <t>Chang Ying runs an equity portfolio using ESG integration techniques which looks at E, S, and G independently. To reduce the downside tail risk of the portfolio whilst preserving the largest investable universe possible she could avoid:</t>
  </si>
  <si>
    <t>A. All companies with low E scores. B. All companies with low G scores. C. Companies with exposure to coal fired power generation. D. Companies whose G score reflects insufficient financial oversight.</t>
  </si>
  <si>
    <t>D. Companies whose G score reflects insufficient financial oversigh</t>
  </si>
  <si>
    <t>Green bond funds would best be described as which form of investing?</t>
  </si>
  <si>
    <t>A. Exclusionary investing. B. Active ownership investing. C. Best-in-class investing. D. Thematic investing.</t>
  </si>
  <si>
    <t>D. Thematic investing.</t>
  </si>
  <si>
    <t>Which of the following ESG index providers specifically considers governance?</t>
  </si>
  <si>
    <t>A. Bloomberg. B. FTSE Russell. C. MSCI. D. Thomson Reuters.</t>
  </si>
  <si>
    <t>D. Thomson Reuters.</t>
  </si>
  <si>
    <t>Which of these factors will be greater for an investor who is passively exposed to an ESG index than for an investor with actively managed investments?</t>
  </si>
  <si>
    <t>A. Investment costs and expenses. B. Complexity of investment strategies. C. Volume of operational decisions required. D. Risk of incorrectly included index constituents.</t>
  </si>
  <si>
    <t>D. Risk of incorrectly included index constituents.</t>
  </si>
  <si>
    <t>What should be the first stage of a portfolio management process, which employs ESG integration?</t>
  </si>
  <si>
    <t>A. Agreeing the meaning of all ESG terms discussed with clients. B. Determining any external ESG research requirements. C. Development of an investment policy statement. D. Undertaking any internal ESG research required.</t>
  </si>
  <si>
    <t>C. Development of an investment policy statement.</t>
  </si>
  <si>
    <t>Which of the following indices would provide a benchmark for an ESG real estate investor?</t>
  </si>
  <si>
    <t>A. FTSE4Good. B. MSCI ESG. C. GRESB. D. S&amp;P ESG</t>
  </si>
  <si>
    <t>C. GRESB.</t>
  </si>
  <si>
    <t>Which of the following types of fund managers are most likely to provide active stewardship for investors?</t>
  </si>
  <si>
    <t>A. Index tracking equity fund managers. B. Broad bond index tracking fund managers. C. Long duration corporate bond fund managers. D. Fundamental active equity fund managers.</t>
  </si>
  <si>
    <t>D. Fundamental active equity fund managers.</t>
  </si>
  <si>
    <t>Which form of portfolio has the most active stewardship by an investment firm</t>
  </si>
  <si>
    <t>A. Diversified equity. B. Fundamental equity. C. Sovereign bond. D. Index tracking.</t>
  </si>
  <si>
    <t>B. Fundamental equity.</t>
  </si>
  <si>
    <t>Which of the following would be specified in an ESG investment mandate?</t>
  </si>
  <si>
    <t>A. Stock selections. B. Reported returns. C. Investor’s beliefs. D. Excluded companies.</t>
  </si>
  <si>
    <t>C. Investor’s beliefs.</t>
  </si>
  <si>
    <t>Which of the following is correct regarding voting by ESG fund managers?</t>
  </si>
  <si>
    <t>A. Voting represents a stewardship activity. B. Voting effectiveness is reported back to investors. C. Proxy voting is not common in developed markets. D. Fund manager voting records must be kept confidential.</t>
  </si>
  <si>
    <t>A. Voting represents a stewardship activity.</t>
  </si>
  <si>
    <t>Which of the following statements is least true?</t>
  </si>
  <si>
    <t>A. Environmental costs include higher litigation and insurance costs. B. Active ownership models give less weight to Intergenerational issues than traditional models. C. All assets within a portfolio may fall in value due to physical environmental damage. D. Higher polluting companies generally report lower short-term profits than less polluting companies</t>
  </si>
  <si>
    <t>A. Environmental costs include higher litigation and insurance costs.</t>
  </si>
  <si>
    <t>Impact investment offerings of small to medium size are generally most appropriate for:</t>
  </si>
  <si>
    <t>A. High net worth individuals. B. Large institutional asset managers. C. Pension funds. D. Retail investment funds.</t>
  </si>
  <si>
    <t>A. High net worth individuals.</t>
  </si>
  <si>
    <t>Norms based screening is most popular in which region?</t>
  </si>
  <si>
    <t>A. Canada. B. Europe. C. Japan. D. USA.</t>
  </si>
  <si>
    <t>B. Europe.</t>
  </si>
  <si>
    <t>Reporting attribution of returns resulting from ESG integration is likely to be most accurate when:</t>
  </si>
  <si>
    <t>A. A variety of ESG evaluation techniques are used. B. An asset manager reports stewardship activities in a detailed manner. C. ESG is fully integrated into the investment process. D. The effect of removing one sector from a portfolio is measured.</t>
  </si>
  <si>
    <t>D. The effect of removing one sector from a portfolio is measured</t>
  </si>
  <si>
    <t>Mario runs an ESG scored portfolio, which has an E score lower than its benchmark. What can he can expect the client to focus more on, when reviewing the performance of the fund?</t>
  </si>
  <si>
    <t>A. Distractor companies in the benchmark with low E scores. B. Distractor companies in the portfolio with low E scores. C. Outperforming companies in the benchmark with high E scores. D. Outperforming companies in the portfolio with high E scores.</t>
  </si>
  <si>
    <t>B. Distractor companies in the portfolio with low E scores.</t>
  </si>
  <si>
    <t>What is the best way a company’s Board can prevent excessive executive remuneration and keep executives accountable to shareholders?</t>
  </si>
  <si>
    <t>A. Align executive pay to industry standards. B. Avoid remuneration which vests over a several year period. C. Link pay to company Key Performance Indicators. D. Vote for regular executive pay increases.</t>
  </si>
  <si>
    <t>C. Link pay to company Key Performance Indicators.</t>
  </si>
  <si>
    <t>How are agency, alignment and executive pay interrelated in corporate governance?</t>
  </si>
  <si>
    <t>A. Corporate governance requires management to be agents when aligning executive pay. B. Corporate governance requires agents to determine whether executive pay is aligned with the market. C. Management remuneration package should be aligned to the function or role of management as agents responsible to their Board. D. Management remuneration package should be aligned to the function or role of management as agents responsible to their shareholders.</t>
  </si>
  <si>
    <t>D. Management remuneration package should be aligned to the function or role of management as agents responsible to their shareholders.</t>
  </si>
  <si>
    <t>The transition to a low carbon economy is expected to open up significant investment requirements. What would likely have the most financial risk for investors?</t>
  </si>
  <si>
    <t>A. Early stage technology for hydro based transportation. B. Energy efficient automobile factories. C. Power infrastructure with proven renewable energy technology. D. Upgrades to buildings to bring them to suitable standards.</t>
  </si>
  <si>
    <t>A. Early stage technology for hydro based transportation.</t>
  </si>
  <si>
    <t>Which of these is not a common use for ESG data sets?</t>
  </si>
  <si>
    <t>D. To prepare company financial reports.</t>
  </si>
  <si>
    <t>What are the three ESG engagement dynamics highlighted by the PRI as creating value?</t>
  </si>
  <si>
    <t>A. Political dynamics, Financial dynamics and Learning dynamics. B. Learning dynamics, Communicative dynamics and Response dynamics. C. Communicative dynamics, Learning dynamics and Political dynamics. D. Response dynamics, Political dynamics and Financial dynamics.</t>
  </si>
  <si>
    <t>C. Communicative dynamics, Learning dynamics and Political dynamics.</t>
  </si>
  <si>
    <t>Which of the following factors will be higher for alternative investments than for other financial investments?</t>
  </si>
  <si>
    <t>A. Correlated returns. B. Liquidity premium. C. Reporting obligations. D. Direct investment effect.</t>
  </si>
  <si>
    <t>D. Direct investment effect.</t>
  </si>
  <si>
    <t>Which comment about a typical quantitative approach to ESG analysis is correct?</t>
  </si>
  <si>
    <t>A. Factors such as value and growth are integrated alongside ESG factors. B. The data set focuses on an individual company assessment. C. The research stage will only include internal proprietary data. D. The dataset tends to be smaller than that used by a fundamental adviser.</t>
  </si>
  <si>
    <t>A. Factors such as value and growth are integrated alongside ESG factors.</t>
  </si>
  <si>
    <t>original prompts</t>
  </si>
  <si>
    <t>claude format prompts</t>
  </si>
  <si>
    <t>\n\nHuman:</t>
  </si>
  <si>
    <t>Task Context</t>
  </si>
  <si>
    <t>Task description</t>
  </si>
  <si>
    <t>examples(?)</t>
  </si>
  <si>
    <t>input</t>
  </si>
  <si>
    <t>output format</t>
  </si>
  <si>
    <t>\n\nAssistant: &lt;output&gt;</t>
  </si>
  <si>
    <t>NER prompt</t>
  </si>
  <si>
    <t>Summarization Prompt</t>
  </si>
  <si>
    <t xml:space="preserve"> Human:	
        You are an ESG expert tasked with reading company disclosure documents and finding the relevant information from them. I'm going to give you an extract from the disclosure, and ask you for a specific metric. You will tell me if the metric is disclosed or not (by answering "yes" or "no"), and then if it is disclosed, what is the disclosure, relevant year, and unit of measurement. If more than one metric is asked for, respond to each metric.
        Are total Scope 1 emissions for the year 2022 disclosed?
        Text:{paragraph}	
        Answer immediately and only give the output. Do not preamble or follow-up. 
        Assistant:	"""</t>
  </si>
  <si>
    <t>You are an ESG expert tasked with reading company disclosure documents and finding the relevant information from them. I'm going to give you an extract from the disclosure, and ask you for a specific metric. You will tell me if the metric is disclosed or not (with the words "yes" or "no"), and if it is, what is the disclosure and unit of measurement. If unsure respond "Not sure".</t>
  </si>
  <si>
    <t>Are Scope 1 Emissions for the year 2022 disclosed?</t>
  </si>
  <si>
    <t>Text: &lt;text&gt; {text}&lt;/text&gt;</t>
  </si>
  <si>
    <t>I'm going to give you some text, and I'd like you to tell me what the text is about. And pay close attention to detail, for example "board oversight of ghg reduction targets" is different than "ghg reduction targets". 
        Strictly from the text below, extract company,sector, country, report type, topic, and market cap from the following text:
        Text: {}
        Response format:
        company: company or N/A
        sector: sector or N/A
        country: country or N/A
        report type: type or N/A
        topic: topic or N/A
        market cap: market cap or N/A</t>
  </si>
  <si>
    <t>Human:
        I'm going to give you some text about {self.topic} and I'd like you to summarize it. 
        Please summarize the following text in a maximum of three sentences, focusing only on the key points related to the topic ({self.topic}). You can use bullet points if that is easier. 
        Text: &lt;text&gt; {self.text} &lt;/text&gt;
        Answer the question immediately without preamble.
        Assistant: &lt;output&gt;</t>
  </si>
  <si>
    <t xml:space="preserve">Answer the following question based on below context. 
Are Scope 2 Emissions for the year 2022 disclosed in the following text (likely found in a table if it is there)? If yes, what is the total amount?
Text: </t>
  </si>
  <si>
    <t>Human:	
        You are an ESG expert tasked with reading company disclosure documents and finding the relevant information from them. I'm going to give you an extract from the disclosure, and ask you for a specific metric. You will tell me if the metric is disclosed or not (by answering "yes" or "no"), and then if it is disclosed, what is the disclosure, relevant year, and unit of measurement. If more than one metric is asked for, respond to each metric.
        Are total Scope 2 emissions for the year 2022 disclosed?
        Text: {paragraph}		
       Answer immediately and only give the output. Do not preamble or follow-up. 
        Assistant:</t>
  </si>
  <si>
    <t>Are Scope 2 Emissions for the year 2022 disclosed?</t>
  </si>
  <si>
    <t xml:space="preserve"> Human:	
        You are an ESG expert tasked with reading company disclosure documents and finding the relevant information from them. I'm going to give you an extract from the disclosure, and ask you for a specific metric. You will tell me if the metric is disclosed or not (by answering "yes" or "no"), and then if it is disclosed, what is the disclosure, relevant year, and unit of measurement. If more than one metric is asked for, respond to each metric.
        Are 2022 Scope 3 emissions (likely broken up into subcategories if so) disclosed?
        Text: {paragraph}		
       Answer immediately and give pnly the output to this question. Do not preamble or follow-up. 
        Assistant: </t>
  </si>
  <si>
    <t>Are Scope 3 Emissions for the year 2022 disclosed?</t>
  </si>
  <si>
    <t xml:space="preserve"> Human:	
        You are an ESG expert tasked with reading company disclosure documents and finding the relevant information from them. I'm going to give you an extract from the disclosure, and ask you for a specific metric. You will tell me if the metric is disclosed or not (by answering "yes" or "no"), and then if it is disclosed, what is the disclosure, relevant year, and unit of measurement. If more than one metric is asked for, respond to each metric.
        Is the percentage of women in management positions (in the workforce, not the board) disclosed for 2022?
        Text: {paragraph}		
       Answer immediately and only give the output. Do not preamble or follow-up. 
        Assistant: </t>
  </si>
  <si>
    <t>Is the percentage of women in management positions disclosed for 2022?</t>
  </si>
  <si>
    <t xml:space="preserve">
    Human:	
        You are an ESG expert tasked with reading company disclosure documents and finding the relevant information from them. I'm going to give you an extract from the disclosure, and ask you for a specific metric. You will tell me if the metric is disclosed or not (by answering "yes" or "no"), and then if it is disclosed, what is the disclosure, relevant year, and unit of measurement. If more than one metric is asked for, respond to each metric.
        Is the total percentage of women in the entire workforce (the whole workforce, not just the board or managers or executives) disclosed for 2022?
        Text: {paragraph}		
       Answer immediately and only give the output. Do not preamble or follow-up. 
        Assistant:</t>
  </si>
  <si>
    <t>Is the percentage of women in the workforce disclosed for 2022?</t>
  </si>
  <si>
    <t>Is the percentage of racial/ethnic diversity in the workforce disclosed for 2022?</t>
  </si>
  <si>
    <t xml:space="preserve">   Human:	
        You are an ESG expert tasked with reading company disclosure documents and finding the relevant information from them. I'm going to give you an extract from the disclosure, and ask you for a specific metric. You will tell me if the metric is disclosed or not (by answering "yes" or "no"), and then if it is disclosed, what is the disclosure, relevant year, and unit of measurement. If more than one metric is asked for, respond to each metric.
        Is the employee turnover rate for 2022 disclosed?
        Text: {paragraph}		
       Answer immediately and only give the output. Do not preamble or follow-up. 
        Assistant:</t>
  </si>
  <si>
    <t>Is the employee turnover rate for 2022 disclosed?</t>
  </si>
  <si>
    <t xml:space="preserve"> Human:	
        You are an ESG expert tasked with reading company disclosure documents and finding the relevant information from them. I'm going to give you an extract from a disclosure, and ask you for a specific metric. You will tell me if the metric is disclosed or not (by answering "yes" or "no"), and then if it is disclosed, what is the disclosure, relevant year, and unit of measurement. If more than one metric is asked for, respond to each metric.
        Are the average hours of training per employee (likely found in some kind of table or chart) disclosed? It could be anywhere in the text. Look very closely!
        Text: {paragraph}
       Answer immediately and only give the output. Do not preamble or follow-up. 
        Assistant: </t>
  </si>
  <si>
    <t>Are the average number of training hours per employee disclosed for 2022?</t>
  </si>
  <si>
    <t xml:space="preserve"> Human:	
        You are an ESG expert tasked with reading company disclosure documents and finding the relevant information from them. I'm going to give you an extract from the disclosure, and ask you for a specific metric. You will tell me if the metric is disclosed or not (by answering "yes" or "no"), and then if it is disclosed, what is the disclosure, relevant year, and unit of measurement. If more than one metric is asked for, respond to each metric.
        Are results from employee engagement metrics (like surveys) disclosed for 2022? Key words around this disclosure might be "participation", "participation rate", or "satisfaction".
        Text: {paragraph}		
       Answer immediately and only give the output. Do not preamble or follow-up. 
        Assistant: </t>
  </si>
  <si>
    <t>You are an ESG expert tasked with reading company disclosure documents and finding the relevant information from them. I'm going to give you an extract from the disclosure, and ask you for a specific metric. You will tell me if the metric is disclosed or not (with the words "yes" or "no"), and if it is, what is the disclosure?If unsure respond "Not sure".</t>
  </si>
  <si>
    <t>Are results from employee engagement/satisfaction metrics (like surveys) disclosed for 2022?</t>
  </si>
  <si>
    <t xml:space="preserve">  Human:	
        You are an ESG expert tasked with reading company disclosure documents and finding the relevant information from them. I'm going to give you an extract from the disclosure, and ask you for a specific metric. You will tell me if the metric is disclosed or not (by answering "yes" or "no"), and then if it is disclosed, what is the disclosure, relevant year, and unit of measurement. If more than one metric is asked for, respond to each metric.
        Does the company disclose whether they have an anti-money laundering (AML) policy with the details of that policy?
        Text: {paragraph}		
        Answer immediately and only give the output. Do not preamble or follow-up. 
        Assistant: </t>
  </si>
  <si>
    <t>You are an ESG expert tasked with reading company disclosure documents and finding the relevant information from them. I'm going to give you an extract from the disclosure, and ask you for a specific metric. You will tell me if the metric is disclosed or not (with the words "yes" or "no"), and if it is, what is the disclosure? If unsure respond "Not sure".</t>
  </si>
  <si>
    <t>Does the company disclose whether they have an anti-money laundering (AML) policy?</t>
  </si>
  <si>
    <t xml:space="preserve"> Human:	
        You are an ESG expert tasked with reading company disclosure documents and finding the relevant information from them. I'm going to give you an extract from the disclosure, and ask you for a specific metric. You will tell me if the metric is disclosed or not (by answering "yes" or "no"), and then if it is disclosed, what is the disclosure, relevant year, and unit of measurement. If more than one metric is asked for, respond to each metric.
        Does the company disclose whether they have a whistleblower policy, with the details of the policy?
        Text: {paragraph}		
        Answer immediately and only give the output. Do not preamble or follow-up. 
        Assistant: </t>
  </si>
  <si>
    <t>Does the company disclose whether they have a whistleblower policy?</t>
  </si>
  <si>
    <t xml:space="preserve"> Human:	
        You are an ESG expert tasked with reading company disclosure documents and finding the relevant information from them. I'm going to give you an extract from the disclosure, and ask you for a specific metric. You will tell me if the metric is disclosed or not (by answering "yes" or "no"), and then if it is disclosed, what is the disclosure, relevant year, and unit of measurement. If more than one metric is asked for, respond to each metric.
        Does the company disclose whether they have an anti-bribery/anti-corruption policy with the details of the policy?
        Text: {paragraph}		
        Answer immediately and only give the output. Do not preamble or follow-up. 
        Assistant: </t>
  </si>
  <si>
    <t>Does the company disclose whether they have an anti-bribery/anti-corruption policy?</t>
  </si>
  <si>
    <t xml:space="preserve">
    Human:	
        You are an ESG expert tasked with reading company disclosure documents and finding the relevant information from them. I'm going to give you an extract from the disclosure, and ask you for a specific metric. You will tell me if the metric is disclosed or not (by answering "yes" or "no"), and then if it is disclosed, what is the disclosure, relevant year, and unit of measurement. If more than one metric is asked for, respond to each metric.
        Does the company disclose whether they have a human rights policy with the details of that policy?
        Text: {paragraph}		
        Answer immediately and only give the output. Do not preamble or follow-up. 
        Assistant:</t>
  </si>
  <si>
    <t>Does the company disclose whether they have a human rights policy?</t>
  </si>
  <si>
    <t xml:space="preserve"> Human:	
        You are an ESG expert tasked with reading company disclosure documents and finding the relevant information from them. I'm going to give you an extract from the disclosure, and ask you for a specific metric. You will tell me if the metric is disclosed or not (by answering "yes" or "no"), and then if it is disclosed, what is the disclosure, relevant year, and unit of measurement. If more than one metric is asked for, respond to each metric.
        Does the company disclose whether they have a supplier code of conduct?
        Text: {paragraph}		
        Answer immediately and only give the output. Do not preamble or follow-up. 
        Assistant:</t>
  </si>
  <si>
    <t>Does the company disclose whether they have a supplier code of conduct?</t>
  </si>
  <si>
    <t xml:space="preserve">  Human:	
        You are an ESG expert tasked with reading company disclosure documents and finding the relevant information from them. I'm going to give you an extract from the disclosure, and ask you for a specific metric. You will tell me if the metric is disclosed or not (by answering "yes" or "no"), and then if it is disclosed, what is the disclosure, relevant year, and unit of measurement. If more than one metric is asked for, respond to each metric.
        Is the total energy consumption disclosed for 2022?
        Text: {paragraph}		
        Answer immediately and only give the output. Do not preamble or follow-up. 
        Assistant:</t>
  </si>
  <si>
    <t xml:space="preserve">        Is the total energy consumption disclosed for 2022?</t>
  </si>
  <si>
    <t xml:space="preserve">Human:	
        You are an ESG expert tasked with reading company disclosure documents and finding the relevant information from them. I'm going to give you an extract from the disclosure, and ask you for a specific metric. You will tell me if the metric is disclosed or not (by answering "yes" or "no"), and then if it is disclosed, what is the disclosure, relevant year, and unit of measurement. If more than one metric is asked for, respond to each metric.
        Is the total renewable energy consumption disclosed for 2022?
        Text: {paragraph}		
        Answer immediately and only give the output. Do not preamble or follow-up. 
        Assistant: </t>
  </si>
  <si>
    <t xml:space="preserve">        Is the total renewable energy consumption disclosed for 2022?</t>
  </si>
  <si>
    <t xml:space="preserve"> Human:	
        You are an ESG expert tasked with reading company disclosure documents and finding the relevant information from them. I'm going to give you an extract from the disclosure, and ask you for a specific metric. You will tell me if the metric is disclosed or not (by answering "yes" or "no"), and then if it is disclosed, what is the disclosure, relevant year, and unit of measurement. If more than one metric is asked for, respond to each metric.
        Is the total waste generated in 2022 disclosed?
        Text: {paragraph}		
        Answer immediately and only give the output. Do not preamble or follow-up. 
        Assistant: </t>
  </si>
  <si>
    <t xml:space="preserve">        Is the total waste generated in 2022 disclosed?</t>
  </si>
  <si>
    <t xml:space="preserve">  Human:	
        You are an ESG expert tasked with reading company disclosure documents and finding the relevant information from them. I'm going to give you an extract from the disclosure, and ask you for a specific metric. You will tell me if the metric is disclosed or not (by answering "yes" or "no"), and then if it is disclosed, what is the disclosure, relevant year, and unit of measurement. If more than one metric is asked for, respond to each metric.
        Is the total water consumed in 2022 disclosed?
        Text: {paragraph}		
        Answer immediately and only give the output. Do not preamble or follow-up. 
        Assistant:</t>
  </si>
  <si>
    <t xml:space="preserve">   Human:	
        You are an ESG expert tasked with reading company disclosure documents and finding the relevant information from them. I'm going to give you an extract from the disclosure, and ask you for a specific metric. You will tell me if the metric is disclosed or not (by answering "yes" or "no"), and then if it is disclosed, what is the disclosure, relevant year, and unit of measurement. If more than one metric is asked for, respond to each metric.
        Is the internal carbon price for 2022 disclosed?
        Text: {paragraph}		
       Answer immediately and only give the output. Do not preamble or follow-up. 
        Assistant:</t>
  </si>
  <si>
    <t>answer choices</t>
  </si>
  <si>
    <t>answer explanation</t>
  </si>
  <si>
    <t>What is the primary challenge that the disclosure of company policies (such as ESG policies or whistleblower policies) can pose to investment analysis?</t>
  </si>
  <si>
    <t>A. The presence of a company policy is represented through binary data, which does not provide useful insight into actual company performance B. Company policies always increase the labor burden of analysis, where large narrative docu_x0002_ments must be manually processed C. Company policies may be written in response to poor performance and often provide fraudu_x0002_lent data, reducing the reliability of the information D. It is not always clear who at the company is accountable for implementing the policy, inhibiting investor-investee engagement</t>
  </si>
  <si>
    <t>Many companies report sustainability information in the form of policy statements. While company policies provide useful information, to investors the presence of a policy is often represented through a “yes-no” or “0-1” binary. Either the company has the policy, or they do not. Performance data is typically more useful to investor analysis.</t>
  </si>
  <si>
    <t>How do trends in index investing influence corporate-investor engagement on sustainability?</t>
  </si>
  <si>
    <t>A. The decline of index investing can encourage investment stewardship through proxy voting B. The growth of index investing can encourage use of the “Wall Street rule” and decrease dialogue-based engagement C. The decline of index investing can encourage shareholders to file resolutions and increase withdrawal rates D. The growth of index investing can encourage investment stewardship based on the way buy-sell decisions are made</t>
  </si>
  <si>
    <t>Index fund owners cannot be as responsive to signals from specific firms as their active fund counterparts, who can sell individual company shares. As index funds continue to grow, more index fund investors are incentivized to work with the companies in which they are invested, encouraging stewardship with a focus on longer-term investment horizons.</t>
  </si>
  <si>
    <t>Corporate disclosures of sustainability information serve which two of the following purposes in capital markets? (Choose two)</t>
  </si>
  <si>
    <t>A. Aid in valuation for financial analysts B. Demand additional regulation for corporations C. Allow investors to assess risks and opportunities related to their investments D. Prevent non-governmental organizations from “naming and shaming” poor ESG performers</t>
  </si>
  <si>
    <t>A, C</t>
  </si>
  <si>
    <t>Informed decision-making is one of the seminal values of corporate disclosure recognized by global disclosure requirements. For investors to make informed decisions, analysts should be able to use disclosed information to accurately assess security and enterprise value. Sustainability information is often a vital component of informed valuation. . Informed decision-making is one of the seminal values of corporate disclosure recognized
by global disclosure requirements. For investors to make informed decisions, they must be able to use
the information disclosed by companies to assess the risks and opportunities related to their investments.
Sustainability information is often a vital component of informed investment analysis.</t>
  </si>
  <si>
    <t>The chart below presents examples of business initiatives designed to reflect the different stages of sustainability-based value creation, as identified by multiple thought leaders in the field. Select the arrangement of initiatives that progress from early-stage to latestage: Chart: 1. Incorporate inventory management and procurement processes to supplement product delivery service 2. Adapting product delivery service to enhance delivery options 3. Upgrading product ordering processes to reduce costs, time, and/or errors 4. Refining new and old business lines to establish brand leadership</t>
  </si>
  <si>
    <t>A. 1, 2, 3, 4 B. 3, 1, 2, 4 C. 2, 3, 1, 4 D. 3, 2, 1, 4</t>
  </si>
  <si>
    <t>Number 3, “upgrading product ordering processes to reduce costs, time, and/or errors represents the first stage of value creation: minimizing costs. Number 2, “adapting product delivery service to enhance delivery options” represents the second stage of value creation: optimizing efficiencies. Number 1, “incorporate inventory management and procurement processes to supplement product delivery service,” represents the third stage of value creation: new products and/or technologies. Number 4, “refining new and old business lines to establish brand leadership” represents the fourth stage of value creation: new business models and differentiated value proposition.</t>
  </si>
  <si>
    <t>Which of the following is suitable to be included as an “activity metric” in the SASB Standards?</t>
  </si>
  <si>
    <t>A. CAPEX B. History of product recalls C. Number of media publications D. A description of the company’s strategy to protect customer data</t>
  </si>
  <si>
    <t>Activity metrics are metrics that quantify the scale of a company’s business. These may include operational data, such the total number of employees, or other numerical data such as the total annual quantity of products produced. Activity metrics may include industry-specific data.</t>
  </si>
  <si>
    <t>Why is SASB’s objective of cost-effectiveness for reporting companies ultimately in the best interest of providers of capital?</t>
  </si>
  <si>
    <t>A. If companies limit the amount of information they report, they are more likely to report information that is material, reducing the level of immaterial data in the market B. If companies spend more than the value disclosure generates, there is potential for sustainability disclosure as a business function to negatively impact enterprise value C. If companies increase spending on reporting processes, they will be better equipped to gather and disclose new data, increasing the availability of sustainability data available D. If companies focus on internal reporting to inform performance management decisions, they will naturally produce decision-useful information that meets the needs of external users</t>
  </si>
  <si>
    <t>The standard-setting process requires a balance between the needs of reporting organizations and report users. Cost-effectiveness for reporting companies is ultimately in the best interest of report users that are also providers of capital. If, in the disclosure process, companies spend more than the value that the disclosure generates, there is potential for sustainability disclosure as a business function to negatively impact enterprise value, which acts against the goals of the company and those providing capital to it.</t>
  </si>
  <si>
    <t>Which of the following provides an example of line-item sustainability disclosure guidance issued by a regulator? 1. The US Securities and Exchange Commission (US SEC) 2010 Guidance lists four climate change issues that companies should consider for disclosure under existing applications of materiality to SEC filings. 2. The European Union Taxonomy for Sustainable Economic Activities (The EU Taxonomy) expects companies to report capital and operating expenditures associated with activities classified as environmentally sustainable. 3. The Australian Securities and Investments Commission (ASIC) 2019 Regulatory Guide states that that companies should present information about an entity’s operations and financial position in a concise manner. 4. The Canadian Securities Administration (CSA) 2010 Environmental Reporting Guidance requires the disclosure of matters related to climate in order to comply with previously-established Continuous Disclosure Obligations.</t>
  </si>
  <si>
    <t>A. 1 B. 2 C. 3 D. 4</t>
  </si>
  <si>
    <t>The EU taxonomy is an example of line-item disclosure guidance. It requires sustainability-related information to be disclosed using specific methodologies to produce specific metrics. For example, under the EU Taxonomy companies are expected to disclose turnover (a specific, comparable measure) derived from activities that quality as environmentally sustainable. S</t>
  </si>
  <si>
    <t>Which two features explain how SASB’s standards-development process is designed to improve the decision-usefulness of sustainability information for investors? (Choose two)</t>
  </si>
  <si>
    <t>A. A topic is only included in a standard if it includes evidence of financial impacts B. Investors’ feedback during the standards development process is prioritized over other stakeholders C. The accounting metrics are quantitative to make it easier to integrate into conventional financial analysis tools D. The technical protocols are intended to improve the reliability of the information by forming the basis for suitable criteria</t>
  </si>
  <si>
    <t>A,D</t>
  </si>
  <si>
    <t xml:space="preserve"> SASB assesses four primary financial drivers: revenue or costs, assets and liabilities, and
cost of capital. Each SASB disclosure topic is tied to specific channels of financial impact. This helps investors
understand the topics is reasonably likely to impact a company’s performance.  SASB technical protocols improve the reliability of disclosed information by forming the
basis of suitable criteria for third-party assurance. For each accounting metric, an accompanying technical
protocol provides guidance on definitions, scope, implementation, and presentation that can be applied by
both report preparers and report users. The protocols also help ensure disclosures from companies in the
same industry are as comparable as possible. The level of reliability enabled by the protocols increase the
decision-usefulness of SASB disclosures by ensuring the information’s accuracy, objectivity, and comparability. </t>
  </si>
  <si>
    <t>An analyst wants to understand the connection between a company’s sustainability data and one of four financial drivers (revenue, cost, assets and liabilities, and cost of capital) that are relevant to a discounted cash flow (DCF) analysis. Choose the pairing that correctly matches a data type with its relevance to a DCF analysis</t>
  </si>
  <si>
    <t>A. Data about factors that drive brand value : impacts on valuation methods for assets and liabilities B. Data about regulatory compliance : operational performance and cost structure C. Data about product features required by law : cost structure for profitability ratios (e.g. ROI) D. Data about the number of safety incidents : revenue growth in the context of price-based ratios (e.g. PE or PEG ratios)</t>
  </si>
  <si>
    <t>Quantitative data about regulatory compliance can be used in DCF analysis to assess operational performance and cost structure. A company’s ability to comply with existing regulation and manage compliance costs can inform important assumptions used to project a company’s future earnings.</t>
  </si>
  <si>
    <t>Completeness is an important concept in disclosures of material information. For a company in an industry where workplace safety is likely to be material, if a company with 0 fatalities but 1,000 near-misses only discloses the number of fatal accidents, then investors are missing the complete picture. In the Automobile industry, information about the safety of a company’s car models is likely to be material. Which three metrics, when taken together, are most likely to represent a complete disclosure? (Choose three)</t>
  </si>
  <si>
    <t>A. Percent of customers injured by other motorists in the previous year B. Number of safety-related defect complaints C. Number of vehicles recalled D. Number of suppliers satisfying third-party factory safety standards E. Percentage of retired union employees diagnosed with chronic illnesses originating from the workplace F. Percentage of vehicles with 5-star safety rating</t>
  </si>
  <si>
    <t>B,C,F</t>
  </si>
  <si>
    <t>By providing the number of safety-related defect complaints, the reporting company provides insight into the number of customers who have experienced defective products that cause safety concerns. Though number of complaints on its own does not provide a complete picture of product safety, when combined with option C and F, report users can gain a complete understanding of product safety and related risks/opportunities.  The number of vehicles recalled provides direct performance information that can support the level of risk/cost associated with recall events. Recall numbers on their own do not provide a complete
picture of product safety. Recalls may serve as a precautionary action or a reaction to adverse customer
safety events. When combined with total complaint numbers and vehicle safety ratings, the report user can
gain a complete understanding of the company’s vehicle safety performance. The safety ratings directly measure vehicle safety through a third-party inspection. While
the number of 5-star ratings does not provide a complete picture of product safety on its own, when
combined with option B and C, this measure lends direct insight into upside product safety performance
along with potential downside risk.</t>
  </si>
  <si>
    <t>On the spectrum of “values-” to “value”-focused investing, which investment strategy that uses sustainability information is farthest on the “value” end?</t>
  </si>
  <si>
    <t>A. Impact Investing B. Negative Screening C. ESG Integration D. Positive Screening</t>
  </si>
  <si>
    <t>ESG integration strategies incorporate sustainability information into traditional security selection processes wo determine whether ESG factors contribute to or detract from the financial prospects of a given investment opportunity.</t>
  </si>
  <si>
    <t>Which two statements, if true, provide evidence that the potential disclosure topic of Labor Practices fails to meet the criteria for inclusion in the Oil &amp; Gas – Services Standard? (Choose two)</t>
  </si>
  <si>
    <t>A. “Labor Practices is a frequent topic in media coverage of the industry and shareholder resolutions in the industry but it is not important to our customers or our board of directors.” B. “The industry is not unionized and strikes are a rare occurrence within the industry. Workers are generally extremely well paid and labor practices are healthy for the most part.” C. “There are instances where labor practices is material in a specific set of circumstances— such as in Gabon in 2013—but it is not material across the industry.” D. “Surveyed customers and suppliers indicated that cost containment strategies warranted disclosure except where it concerned what they viewed as a non-issue—labor practices— even though labor costs account for the 3rd greatest share of costs"</t>
  </si>
  <si>
    <t>B,C</t>
  </si>
  <si>
    <t>The statement indicates that Labor Practices is not a significant issue, evidenced by the lack of unions and infrequency of strikes. The statement therefore does not indicate that the topic is likely to be financially impactful or of interest to users. The statement indicates that Labor Practices is not prevalent. – it does not apply to many
companies within an industry and across geographies. A topic would be excluded from a SASB Standard is
there was minimal evidence of prevalence to many companies within a given industry and across geographies</t>
  </si>
  <si>
    <t>How does the concept of financial materiality manifest in today’s definitions of double materiality?</t>
  </si>
  <si>
    <t>A. Sustainability information can lend insight into traditional financial drivers B. Financially material information disclosed to investors is consistently relevant to non-investor audiences C. The materiality of social and environmental issues changes when companies change their scenario analysis D. The market’s understanding of sustainability information changes the measurability of sustainability issues using financial metrics</t>
  </si>
  <si>
    <t xml:space="preserve">A </t>
  </si>
  <si>
    <t>In some cases, sustainability information provides insight into traditional financial drivers
such as market share, capital expenditures, intangible assets, and risk premium.</t>
  </si>
  <si>
    <t>A national securities commission announced that starting next year, all listed companies will be required to disclose ESG performance. The announcement was accompanied by new sustainability disclosure guidance. The guidance provides a reporting template that specifies which disclosure topics companies must report, including specific metrics and units of measurement related to economic, environmental, and social performance. During the first three years of the disclosure mandate, companies may choose to omit certain metrics if they provide sound rationale explaining why the information is not yet available. What two characteristics of regulatory disclosure guidance does this reflect? (Choose two)</t>
  </si>
  <si>
    <t>A. Line-item B. Principles-based C. Comply-or-explain D. Interpretive</t>
  </si>
  <si>
    <t>A,C</t>
  </si>
  <si>
    <t>The required disclosure of specific metrics and units of measurement is a characteristic of line-item disclosure.  “Comply-or-explain” disclosure guidance requires reporting companies to either comply
with required rules or codes or explain why they have chosen not to. Omissions are permissible if accompanied by the reporting entity’s rationale</t>
  </si>
  <si>
    <t>What is a benefit of industry-specific sustainability disclosure guidance?</t>
  </si>
  <si>
    <t>A. It provides companies with more detailed disclosure support, helping to refine internal processes B. It strengthens integrated reporting, helping companies better communicate how they create value over time C. It ensures comprehensive, uniform availability of information that can be used to compare sector dynamics D. It yields information that provides insight into the ways ESG issues drive value based on business model.</t>
  </si>
  <si>
    <t>Industry-specific disclosure resources yield data that is relevant to companies in a specific industry, which is to say companies with similar business models and operating environments. Unlike industry-agnostic factors, which may drive value in relatively the same way across different industries, industry-specific criteria drive value in different ways across different industries, where the same sustainability factor is material to one industry and immaterial to another.</t>
  </si>
  <si>
    <t>What are two challenges investors face when integrating sustainability disclosures into financial analysis? (Choose two)</t>
  </si>
  <si>
    <t>A. Many companies disclose binary sustainability data rather than performance data B. Material sustainability information that is currently disclosed is often not comparable within an industry C. There is an overabundance of ESG performance data which decreases the signal-to-noise ratio D. Most corporate sustainability reports include some level of assurance and is highly reliable</t>
  </si>
  <si>
    <t>A,B</t>
  </si>
  <si>
    <t xml:space="preserve">While there is an accelerating trend of increased sustainability disclosure, many companies report sustainability information in the form of company policies. To analysts and investors, the presence of a policy represents binary data. Such policies provide important information, however when integrating sustainability data into existing analyses, performance data is more useful.  Even where material performance data is disclosed on sustainability topics, it is often not
comparable. Different companies often report sustainability data on the same topic in different ways. This
high level of metric-level variability reduces comparability and usefulness to investors. </t>
  </si>
  <si>
    <t>In the sustainability disclosure value chain, which organizations are involved in the production of corporate sustainability performance information, and which organizations are involved in the use of corporate sustainability performance information?</t>
  </si>
  <si>
    <t>A. Frameworks and standards, data providers, and reporting organizations produce information. End users and software providers use information. B. Data providers, disclosure guidance issuers, and ESG ratings produce information. Securities exchanges and reporting organizations use information. C. Analytics platforms and data aggregators produce information. Investors, regulators, and non-government organizations (NGOs) use information. D. Reporting organizations, disclosure platforms, and auditors produce information. Data providers, analytics platforms, and regulators use information.</t>
  </si>
  <si>
    <t xml:space="preserve">Reporting organizations, or “reporters,” collect, validate, and set up internal controls/ procedures, often involve external audit, and ultimately publish the information that downstream organizations in the value chain use. Disclosure platforms support the production of sustainability information by enabling reporting organization to collect and report information. Auditors also support the production of information, as they ensure the reliability of disclosed information through external assurance and other
services. End users such as investors, civil society, and other stakeholders use/consume sustainability information for their own analysis and decision-making. Regulators use sustainability information for regulatory
purposes, such as setting sustainability-related mandates for public companies. </t>
  </si>
  <si>
    <t>An analyst at an investment bank is conducting a discounted cash flow (DCF) analysis as part of their evaluation of a group of telecommunications companies. The analyst adjusts their original analysis based on each company’s performance on the same SASB metric. This event demonstrates that the specific metric met which characteristic of SASB accounting metrics?</t>
  </si>
  <si>
    <t>A. Financial B. Aligned C. Understandable D. Representationally faithful</t>
  </si>
  <si>
    <t>Metrics are understandable if the primary users can understand the information encompassed by that metric and can use the metrics in their investment decisions.</t>
  </si>
  <si>
    <t>The topic of water use is likely to have material financial impacts for energy companies, agricultural producers, apparel manufacturers and pharmaceutical companies based on the SASB Standards. However, if each of these companies disclosed water use data using the same metric, that metric may not provide meaningful information about each company’s water use performance. Which fundamental tenet of SASB’s approach to standard-setting addresses this issue?</t>
  </si>
  <si>
    <t>A. Evidence-based B. Market-informed C. Industry-specific D. Transparent</t>
  </si>
  <si>
    <t>SASB develops sustainability disclosure standards at the industry level, focusing on issues that are closely tied to resource use, sustainability impacts, business models, regulation, and other factors at play in the industry. Because business models differ by industry, a single metric applied across all industries cannot capture meaningful performance information.</t>
  </si>
  <si>
    <t>An analyst working in a small asset management company has been tasked with analyzing how sustainability topics affect the risk profile of the firm’s portfolios using the Sustainable Industry Classification System (SICSTM). The analyst notices that climate change is an important topic for several of the industries in which the firm is invested. Which two of the following options explain why using SICSTM was likely more helpful than using a traditional industry classification system? (Choose two)</t>
  </si>
  <si>
    <t>A. SICS groups industries based on climate sustainability characteristics of sub-industries in the GICS® system. B. SICS groups industries based on sustainability-related risks and opportunities. C. SICS yields similar industry sustainability profiles to increase the correlation between groups of industries. D. SICS yields differentiated, financially-material climate impacts across industries</t>
  </si>
  <si>
    <t>B,D</t>
  </si>
  <si>
    <t xml:space="preserve">Traditional classification systems typically take either a supply-side, production-oriented approach or a demand-side, market-oriented approach to classifying companies. SICS uses a methodology focused on impacts from sustainability-related risks and opportunities, which can have implications for either side. The SICS classification system differentiates sustainability profiles at the industry level.
Although each industry has a unique profile based on the resources it uses to create goods and services
to meet societal needs, some sustainability issues can arise in many, or potentially every, industry. Climate
change is the most common example. Climate change impacts companies across industries, but specific
impacts tend to manifest differently in nearly every industry. </t>
  </si>
  <si>
    <t>A reporting company believes that its sustainability performance metrics change frequently and require extensive contextual information for report users to accurately interpret. The company wants to disclose sustainability information with robust contextual information and wants the ability to update the information throughout the year. Which disclosure location addresses this company’s communication needs?</t>
  </si>
  <si>
    <t>A. Regulatory filing B. Annual sustainability report PDF C. Standalone SASB publication D. Web-based format</t>
  </si>
  <si>
    <t>Web-based reports for sustainability disclosure can allow companies to report information that is more timely, direct, extensive, and navigable</t>
  </si>
  <si>
    <t>Which type of investor tends to contribute most to the ESG performance of the firms in which they invest?</t>
  </si>
  <si>
    <t>A. Fixed-income investors B. Stock market investors C. Index investors D. Private equity investors</t>
  </si>
  <si>
    <t>Private equity investors (or private equity funds) tend to have more concentrated holdings, have a longer investment horizon, and often bring a specific area of expertise to the management of a company (among other characteristics). Because of these characteristics, private equity investors tend to engage on a more robust and frequent basis, where they are closely involved in performance target-setting and engage in informed dialogues.</t>
  </si>
  <si>
    <t>In its Annual Report, a company in the Containers &amp; Packaging industry uses a clear narrative and financially material sustainability metrics to explain near-term R&amp;D expenditures and long-term market share projections for new products in the context of changing consumer preferences. What insight does this disclosure style provide to report users?</t>
  </si>
  <si>
    <t>A. It describes how well the company is positioned to manage financial opportunities over time B. It explains the link between sustainability management and current and future financial performance C. It shows how effectively the company uses SASB Standards alongside additional frameworks D. It illustrates the extent to which qualitative information clarifies uncertainties and estimates</t>
  </si>
  <si>
    <t>Where a report explains how the management of sustainability issues directly relates to a company’s activities, risks, and opportunities, financially material sustainability metrics such as those provided by the SASB Standards help communicate the link between sustainability management and financial performance. Supporting narrative also helps provide insight into how well positioned a company is to manage sustainability risks and opportunities over time.</t>
  </si>
  <si>
    <t>What are two ways investors can use SASB Standards to achieve their goals? (Choose two)</t>
  </si>
  <si>
    <t>A. To monetize client interest in sustainable investing strategies B. To assess emerging risks and opportunities over investment time horizons C. To evaluate how sustainability issues impact risk and return in underwriting decisions D. To rationalize prioritization of future generations over current clients when interpreting fiduciary duties of care</t>
  </si>
  <si>
    <t xml:space="preserve">Investors can use the SASB Standards to identify and assess emerging sustainability risks and opportunities and the timing, duration, and intensity of sustainability impacts over investment time horizons.  SASB Standards can be used to evaluate how sustainability issues impact risk and return
in investment decision-making processes across debt and equity. </t>
  </si>
  <si>
    <t>When preparing for sustainability disclosure, what two steps do companies generally take at the beginning of the fiscal year? (Choose two)</t>
  </si>
  <si>
    <t>A. Define performance goals and KPIs B. Conduct internal reviews C. Align with key players on reporting processes and goals D. Establish report narrative development responsibilities</t>
  </si>
  <si>
    <t xml:space="preserve">Annual reporting processes can vary widely. However, the process of defining performance goals, and the best KPIs to measure performance against those goals, typically occurs at the start of this fiscal year. At the beginning of each reporting cycle, it is often prudent to align with leadership,
committees, business units, and other key players of reporting goals, KPIs, timeline, and process. </t>
  </si>
  <si>
    <t>What are two characteristics of the current state of sustainability assurance according to recent research? (Choose two)</t>
  </si>
  <si>
    <t>A. There is low or no support for assurance providers to learn how to apply existing standards to sustainability assurance B. The majority of investors believe all information in sustainability reports should be subject to assurance C. Most S&amp;P 500 companies publish sustainability disclosures that include some level of third-party assurance D. Most external sustainability assurance covers only a selection of reported data</t>
  </si>
  <si>
    <t>According to the McKinsey report, “More Than Values: The Value-Based Sustainability Reporting That Investors Want,” published in August 2019, 67 percent of investors believe that sustainability reports should “undergo full audits, on par with financial audits.” The scope of assurance for sustainability information varies considerably. While the level of sustainability assurance is growing globally, most (90 percent) of sustainability disclosures that include an assurance statement cover only a portion of the reported data. Assurance is often limited to those measures that have historically been subject to higher levels of internal control, such as greenhouse gas emissions.</t>
  </si>
  <si>
    <t>Which two investment activities are examples of ESG integration? (Choose two)</t>
  </si>
  <si>
    <t>A. Green bonds B. ESG index tilts C. ESG in active private equity D. Tobacco-free portfolios</t>
  </si>
  <si>
    <t xml:space="preserve"> ESG index tilts are an example of ESG integration. When an ESG tilt is applied to index
construction, assets are weighted according to ESG performance characteristics, either “away” from undesired characteristics, such as high carbon emissions, or “toward” desirable characteristics. In ESG indices, the
weight of each company is adjusted based on ESG information. For example, S&amp;P offers an ESG Index family
that values stocks using ESG scores and corporate sustainability assessments (among other information),
allowing investors to integrate ESG factors into core investments without straying too far from the overall
profile of S&amp;P broad market indices.  ESG integration occurs in active private equity at every stage of the investment process,
from pre-investment due diligence to monitoring and engagement.</t>
  </si>
  <si>
    <t>A third-party assurance provider is supplying reasonable assurance services for a company’s sustainability disclosure, which includes SASB-aligned information. Which component of the SASB Standards should the assurance provider reference to consistently evaluate the subject matter?</t>
  </si>
  <si>
    <t>A. SASB’s definition of materiality B. The primary objectives of the Standards C. Each metric’s technical protocols D. The activity metrics for the Standard</t>
  </si>
  <si>
    <t>The metrics and underlying technical protocols included in SASB Standards are designed to serve as suitable criteria for third- party assurance engagements. For each accounting metric, an accompanying technical protocol provides guidance on definitions, scope, implementation, compilation, and presentation that can be applied by both report preparers and assurance providers. For assurance providers, the protocols help to consistently evaluate disclosed information.</t>
  </si>
  <si>
    <t>An analyst is assessing the default risk of a vegetable producer located in a region with high baseline water stress. What security type is this analyst most likely assessing?</t>
  </si>
  <si>
    <t>A. Public Equity B. Debt C. Private equity D. Stocks</t>
  </si>
  <si>
    <t>Debt securities such as credit lines and bonds focus almost exclusively on evaluating and pricing risk. ESG information supports risk analysis. In this question’s scenario, water related ESG information can be used to evaluate default risk related to the producer’s management of critical inputs and long-term ability to operate.</t>
  </si>
  <si>
    <t>An investment analyst is assessing the annual emissions of two dairy producers. Company A discloses its emissions using an in-depth lifecycle analysis (LCA) at the product level. Company B discloses its emissions using a national facilities-level greenhouse gas inventory. What challenge does this represent in sustainability reporting?</t>
  </si>
  <si>
    <t>A. Sustainability data is reported with high levels of variance B. Companies use a wide range of subject-matter-specific methodologies C. Sustainability information relies on estimates and assumptions D. Companies must cater to the informational needs of different audiences</t>
  </si>
  <si>
    <t>The wide range in subject-matter-specific methodologies employed by reporting organizations requires investors and non-investor stakeholders to interpret highly diverse sets of data. Where financial accounting relies on the expertise of professionals within a singular, long-established discipline, sustainability information relies on the expertise of professionals across different facets of environmental science, human resources, finance, executive functions, and many other areas.</t>
  </si>
  <si>
    <t>Which three statements accurately describe the various types of regulatory sustainability disclosure guidance? (Choose three)</t>
  </si>
  <si>
    <t>A. Principles-based guidance allows companies to set sustainability goals against their peers, increasing comparability but reducing analysis accuracy B. Principles-based guidance provides a list of reporting tenets for companies, sometimes referencing third-party resources to avoid boilerplate disclosures C. Interpretive guidance contextualizes sustainability information within existing legal frameworks, leveraging existing reporting processes D. Interpretive guidance requires companies to spend more resources to report sustainability information, limiting their ability to respond to investor requests E. Line-item disclosure guidance makes it easier for users to compare information, enabling better performance evaluation over time and against peers. F. Line-item disclosure guidance ensures companies disclose detailed metrics, increasing the accuracy of data for their unique circumstance</t>
  </si>
  <si>
    <t>B,C,E</t>
  </si>
  <si>
    <t>Principles-based guidance provides a list of tenets, such as “complete,” “concise,” “unbiased,” or others that companies use to guide their reporting process. They aim to yield qualitative and/or quantitative information while allowing companies the flexibility to make decisions around what information to report and how to report it. To avoid generic or boilerplate disclosure, principles-based guidance may reference third-party standards or frameworks to support implementation with more specific guidance.  Interpretive guidance – or the interpretation of existing guidance – clarifies and elaborates
on the application of existing regulatory guidance to sustainability information. Rather than creating new
requirements, it relies on existing reporting rules and procedures. This approach allows regulators, reporting
companies, and report users such as investors to contextualize sustainability information within established
legal frameworks and widely understood objectives. Line-item disclosure guidance generally makes it easier to compare information. Where
companies disclose the same metrics produced through the same methods, investors and other information
users can better evaluate performance on that metrics over time, relative to industry peers, and even against
national and international sustainability goals.</t>
  </si>
  <si>
    <t>What objective prevails today as the focus of financial accounting?</t>
  </si>
  <si>
    <t>A. Accuracy of the value of assets upon purchase B. Decision-usefulness of reported information C. Management’s view of the entity’s performance D. Country-specific accounting standards</t>
  </si>
  <si>
    <t>In the 1960s, the accounting profession re-envisioned the purpose of financial statements by introducing the concept of decision-usefulness, defined in A Statement of Basic Accounting Theory. The purpose of accounting definitively shifted, and financial statements were now intended “to provide information which will be of assistance in making economic decisions.” This purpose moved accounting practices toward standardization and remains today as the primary purpose of standardized disclosure of financial and non-financial information.</t>
  </si>
  <si>
    <t>Some of the earliest efforts to promote the disclosure of non-financial information can be seen in the IFRS Management Commentary and the US SEC’s Management Discussion &amp; Analysis (MD&amp;A). What two similarities exist between these two reporting instruments?(Choose two)</t>
  </si>
  <si>
    <t>A. They specify the use of key performance indicators (KPIs) for ESG data B. They provide context and analysis to interpret a company’s future performance C. They are a natural location to disclose material sustainability information D. They require a rigorous discussion of a company’s value creation strategy</t>
  </si>
  <si>
    <t>Both the Management Commentary and MD&amp;A require companies to generate a narrative that reflects management’s views and provides the necessary context for interpreting companies’ future performance. This includes the disclosure of “forward-looking information” and “known trends, events, demands, commitments, and uncertainties.”  As a key source of non-financial information, both the Management Commentary and
MD&amp;A provide a natural location to disclose sustainability information that is material to the operating
performance and/or financial position of the reporting entity.</t>
  </si>
  <si>
    <t>Of the organizations that offer definitions of materiality for corporate disclosure, which two statements accurately characterize these organizations’ approach to disclosure location? (Choose two)</t>
  </si>
  <si>
    <t>A. Securities regulators specify disclosure in annual and periodic financial statements B. CDSB specifies the disclosure of climate-related information in mainstream reports C. Traditional accounting standard-setting organizations specify disclosure in financial statements D. SASB specifies that material sustainability information applies disclosure in financial statements</t>
  </si>
  <si>
    <t>CDSB specifically identifies where companies should disclose sustainability information within their definition of materiality (mainstream reports). Most sustainability disclosure standards and frameworks do not specify an exact location, but rather encourage companies to use existing channels and processes.  Organizations such as FASB and IASB define materiality in the context of specific disclosure
documents - annual and periodic financial statements.</t>
  </si>
  <si>
    <t>For the SASB Standards to evolve with the market, which three characteristics does the standards-development process aim to balance? (Choose three)</t>
  </si>
  <si>
    <t>A. timely outcomes B. dynamic materiality C. comprehensive research D. fair project proposals E. broad stakeholder participation F. accurate issue prioritization</t>
  </si>
  <si>
    <t>A,C,E</t>
  </si>
  <si>
    <t>SASB’s process aims to balance the need for timely outcomes with the need for comprehensive research and broad stakeholder participation. Waiting too long to update the Standards can reduce their usefulness, but making changes too quickly risks leaving out critical market input and sources of evidence.  SASB’s process aims to balance the need for timely outcomes with the need for comprehensive research and broad stakeholder participation. SASB’s project-based model balances the need for
comprehensive research with timely outcomes using a multi-step process for project screening and research
proposals to determine if questions surfaced during monitoring activities warrant additional research.  SASB’s process aims to balance the need for timely outcomes with the need for comprehensive research and broad stakeholder participation. Stakeholders participate throughout the entire
standards-development process, with explicit 90-day periods for public comment formally conducted for
each Standards update.</t>
  </si>
  <si>
    <t>Which three roles within a corporation typically provide perspective on the financial materiality of sustainability information, and how sustainability-related risks and opportunities should be managed? (Choose three)</t>
  </si>
  <si>
    <t>A. Chief Sustainability Officer B. Risk Management C. CEO and CFO D. Board of Directors E. Legal Counsel F. Technology</t>
  </si>
  <si>
    <t>A,C,D</t>
  </si>
  <si>
    <t xml:space="preserve">As a senior officer within a company, the Chief Sustainability Officer typically provides important perspective on the financial materiality of sustainability information, important KPIs for internal and external reporting, and how material risks and opportunities should be managed.  As senior officers within a company, the Chief Executive Officer (CEO) and Chief Financial
Officer (CFO) also typically provide important perspective on the financial materiality of sustainability information, important KPIs for internal and external reporting, and how material risks and opportunities should
be managed within the context of other executive responsibilities.  As the governing body responsible for building shareholder value and investor confidence in the organization’s performance (among other responsibilities), the Board of Directors can provide
important perspective on the financial materiality of sustainability information, important KPIs for internal
and external reporting, and how material risks and opportunities should be managed. </t>
  </si>
  <si>
    <t>What are two components of effective integration of ESG-related risks and ERM? (Choose two)</t>
  </si>
  <si>
    <t>A. Risk response systems designed to identify positive impacts on the company B. Board oversight of business-unit approaches to risk mitigation C. Risk management activities anchored in strategy development and objective-setting D. Cross-functional communication to support risk-informed decision making</t>
  </si>
  <si>
    <t>C,D</t>
  </si>
  <si>
    <t xml:space="preserve">Guidance published by COSO and WBCSD identifies strategy and objective setting for ESG related risk as an important component of integrating ESG-related risks and ERM. A strong understanding of business context, strategy, and objectives anchors all ERM activities. Applying ERM to ESG-related risks includes examining value creation processes to understand impacts and dependencies in the short, medium, and long term.  Guidance published by COSO and WBCSD identifies information, communication, and reporting for ESG-related risk as an important component of integrating ESG-related risks and ERM. This includes cross-functionally communicating to identify the most appropriate information to support risk-informed decision making. </t>
  </si>
  <si>
    <t>The table below lists a SASB disclosure topic for the same General Issue Category (G.I.C.) across three different industries. What does this table illustrate about SASB Standards? Industry Toys &amp; Sporting Goods Drug Retailers Meat, Poultry &amp; Dairy Processed Food Disclosure Topic Chemical &amp; Safety Hazards of Products Drug Supply Chain Integrity Food Safety Food Safety</t>
  </si>
  <si>
    <t>A. Disclosure topics manifest differently across industries based on industry risk profile. B. General Issue Categories have the same disclosure topics across industries. C. Disclosure topics represent industry-specific impacts of general issue categories. D. General Issue Categories represents industry-specific impacts across sectors.</t>
  </si>
  <si>
    <t>Each disclosure topic reflects an industry-specific impact within a general issue category. While all disclosure topics can be categorized according to general issue category (which are sustainability themes that cut across industries), they manifest differently depending on what topic is likely to be financially material to companies in a given industry. The topic used to measure product quality and safety in the Toys &amp; Sporting Goods industry will be different from the topic used to measure product quality and safety in the Drug Retailer industry because what is material to one will not necessarily be material to the other.</t>
  </si>
  <si>
    <t>In the early stages of sustainability disclosure, what is one step companies can take to better understand their reporting environment?</t>
  </si>
  <si>
    <t>A. Observe the reporting behavior of industry peers B. Assemble a disclosure committee for sustainability C. Engage and monitor non-investor stakeholders D. Engage with senior leaders to prioritize sustainability</t>
  </si>
  <si>
    <t>As no company operates in isolation, companies can benefit from observing their peers to better understand their reporting environment and inform decisions about how, when, and where to disclose. Companies may choose to look at such things as what channels peers are using to disclose, what metrics they are benchmarking and analyzing, which sustainability issues are frequently included in disclosure, and so on</t>
  </si>
  <si>
    <t>What type of assurance is designed to provide a high level of assurance for information other than financial statements?</t>
  </si>
  <si>
    <t>A. Certifications B. Observation C. Reviews D. Examinations</t>
  </si>
  <si>
    <t>As defined by the American Institute of Certified Public Accountants (AICPA), “examinations are audit-level engagements designed to provide a high-level of assurance on information other than historical financial statements.” Examinations may serve as an appropriate form of assurance for companies seeking to signal the reliability of sustainability disclosure.</t>
  </si>
  <si>
    <t>What does the history of the formation of accounting standards-setting organizations – leading up to the establishment of the global International Accounting Standards Board (IASB) and the US Financial Accounting Standards Board (FASB) – demonstrate about the nature of standardized disclosure?</t>
  </si>
  <si>
    <t>A. There has always been widespread support for standardized accounting practices and financial disclosure B. The accepted purpose and methods of accounting and financial disclosure have evolved over time C. Accounting standards that enable greater flexibility to reporting companies ultimately benefit investors D. Accounting practices must be completely standardized across global jurisdictions to achieve market efficiency</t>
  </si>
  <si>
    <t>The recognized purpose of financial disclosure and the accounting methodologies in use have changed significantly throughout history. In the 1930s, historical cost accounting served as the dominant method, embedding a focus throughout the profession on recording accurate information. In subsequent years, the profession began to allow companies to practice multiple accounting methods, creating tension between non-standardized methods and reducing the usefulness of disclosed information to providers of capital. After much debate throughout the 1950s and 1960s, the accounting profession coalesced around a new purpose for financial accounting – to provide information to support economic decision-making.</t>
  </si>
  <si>
    <t>When the accounting profession redefined the purpose of financial statements in the 1960s, what method came into focus for its decision-usefulness?</t>
  </si>
  <si>
    <t>A. Discounted future cash flows B. Historical cost accrual C. Comparable company analysis D. Positive screening</t>
  </si>
  <si>
    <t>During this time, the purpose of accounting shifted from focusing solely on historical accuracy to recognizing the importance of forward-looking information to support economic decision making. With this shift, the accounting profession emphasized discounted future cash flows as the most relevant way to assess the future value attributed to a company’s assets and liabilities</t>
  </si>
  <si>
    <t>An analyst is sourcing ESG data from several companies’ annual reports. When viewing the reports, they notice that five companies have published SASB disclosures using the same SASB industry standard. Which two of the following attributes can the analyst expect about this group of five companies? (Choose two.)</t>
  </si>
  <si>
    <t>A. They generate comparable levels of revenue B. They have similar ESG ratings C. They operate in a similar legal environment D. They face similar growth and innovation opportunities</t>
  </si>
  <si>
    <t xml:space="preserve">Within the same SICS industry, companies tend to operate in the same or similar legal environment, which is an important component of an industry’s sustainability profile. Within the same SICS industry, companies tend to face similar growth and innovation
opportunities, which is an important component of an industry’s sustainability profile. </t>
  </si>
  <si>
    <t>Which two of the following trends are contributing to investors playing a more active role in corporate governance? (Choose two.)</t>
  </si>
  <si>
    <t>A. The rise of sustainability disclosure B. The growth of proxy voting C. The growth of index investing D. The rise of sustainability in investing</t>
  </si>
  <si>
    <t>When invested in an index fund, investors do not have the option to respond directly to unfavorable company performance by selling shares. As a result, they are incentivized to work with companies to meet common performance goals. The growing focus on sustainability in the investment world means that asset managers
are playing a more active role in corporate governance. Investors recognize the opportunity to enhance
decision making processes with sustainability information and are also subject to growing stewardship
responsibilities, which encourage collaborative engagement with companies’ boards and leadership related
to ESG performance.</t>
  </si>
  <si>
    <t>Which three of the following components of a company’s external environment are useful to observe to better understand the sustainability reporting environment when preparing for disclosure? (Choose three.)</t>
  </si>
  <si>
    <t>A. Executive compensation B. Regulatory developments C. Reporting trends among industry peers D. Proxy voting trends E. Non-investor stakeholder pressures</t>
  </si>
  <si>
    <t>Regulatory requirements in the surrounding market may evolve, causing a shift in the materiality of certain sustainability issues. An awareness of changes to the surrounding regulatory environment can directly influence a company’s decision about what information to disclose.  Peer comparison can help inform companies’ decisions regarding which reporting channels
to utilize and what information to disclose. It can also help companies gain an understanding of its performance relative to other firms. Non-investor stakeholders can play an important role in influencing the materiality of
sustainability issues. For example, NGOs may call attention to pressing issues and mobilize action among
regulators, consumers, investors, and others in a way that impacts a company’s financial performance (see
Section 5.2.2.). By keeping an eye on such developments, companies can inform decisions about what
information to disclose.</t>
  </si>
  <si>
    <t>Which two of the following steps can companies take to both enhance disclosure and improve understanding of the ways sustainability issues impact operational and financial performance? (Choose two.)</t>
  </si>
  <si>
    <t>A. Hire legal experts with expertise in sustainability issues B. Collaborate across business functions C. Expand existing data management processes to include sustainability information D. Create a sustainability department</t>
  </si>
  <si>
    <t xml:space="preserve">Cross-functional teams are typically required to effectively disclose financial information. Similar, if not greater, cross-functional cooperation among professionals within an organization is often required to disclose financially material sustainability information. This process can improve both disclosure for external audiences and produce insight into the ways sustainability issues impact company performance to the benefit of internal decision-making. The disclosure of financially material sustainability information is typically not a matter
of starting from scratch. Existing processes for collecting, managing, and measuring data can often be
expanded to include sustainability data. This too can improve both disclosure for external audiences
and produce insight into the ways sustainability issues impact company performance for internal decision-making. </t>
  </si>
  <si>
    <t>The fixed income team at an asset management firm is developing a new ESG framework to support their pre-investment decision making process. What will this framework most likely help do?</t>
  </si>
  <si>
    <t>A. Integrate climate models into discounted cash flow analysis B. Aggregate narrative data to assess equity value C. Support analysis of short-term return potential D. Surface ESG issues the affect companies’ ability to repay</t>
  </si>
  <si>
    <t>Fixed income investing often focuses on risk assessment, or evaluating the likelihood that a company will not be able to repay borrowed funds. ESG information can be highly additive to the risk assessment process. The pre-investment stage often focuses on surfacing relevant ESG issues</t>
  </si>
  <si>
    <t>A multinational company in the Agricultural Products industry has issued several bonds backing operations in various regions. Which level of analysis would provide a fixedincome investor with a useful assessment of how ESG issues would affect investment in the various bonds?</t>
  </si>
  <si>
    <t>A. At the security level B. At the market level C. At the sector level D. At the industry level</t>
  </si>
  <si>
    <t>ESG-related risk analysis for fixed-income often requires a relatively high level of granularity because the risk present at the security level (in this case, the bond level) may be very different than the ESG risk profile of the company as a whole. By understanding the differences between the geographic regions these bonds support, the investor would gain a more complete understanding of risk associated with the various bonds.</t>
  </si>
  <si>
    <t>A public company domiciled in in Country X observed that several major competitors have begun disclosing using the SASB Standards and decided to prepare its first SASB disclosure. Country X does not mandate sustainability disclosure for listed companies. What best describes the company’s decision regarding where it should publish its SASB disclosure?</t>
  </si>
  <si>
    <t>A. The company should disclose using a stand-alone report with separate data tables B. The company should disclose in its annual sustainability report using GRI and the Integrated Reporting Framework C. The company can choose the channel that best suits its needs and the needs of key audiences D. The company can choose how to integrate sustainability information into its Management Commentary</t>
  </si>
  <si>
    <t>In the absence of sustainability reporting requirements imposed by regulators, companies can choose the reporting channel that best suits its needs. As mentioned in answer “A” above, this decision often reflects where it expects investors and other stakeholders to look information disclosed using the SASB Standards.</t>
  </si>
  <si>
    <t>A private equity investor is integrating ESG into its investment process with the goal of improving the risk-return profile of its holdings. How will the investor likely use the SASB Standards to support this goal?</t>
  </si>
  <si>
    <t>A. Identify the KPI to use when issuing a new sustainability-linked bond B. Apply an ESG tilt during portfolio construction favoring low-emitting companies C. Monitor portfolio companies’ adherence to Generally Accepted Accounting Principles (GAAP) D. Inform close engagement with portfolio companies concerning financially material ESG issues</t>
  </si>
  <si>
    <t>In private equity as well as other asset classes, the SASB Standards are used throughout the various stages of the investment cycle, including engagement. As investors that often take a majority-control stake and have longer investment horizons, private equity investors tend to engage with the firms they invest on a more frequent and robust basis. The SASB Standards serve as a helpful tool for informing ongoing engagement on ESG issues that impact financial performance.</t>
  </si>
  <si>
    <t>answer</t>
  </si>
  <si>
    <t>Why are investors demanding quality sustainability information?</t>
  </si>
  <si>
    <t>Investors source quality sustainability information to meet their investment goals. While investors are generally defined as people or organizations that allocate financial capital with the goal of achieving a profit, investors are not a monolith. Investment goals and accompanying strategies may include using the information to achieve above-market returns, assessing risk to protect against diminished returns and major losses, or evaluating the predictability of investment outcomes. Whether operating in public or private markets, the ability of investors to use financially material sustainability information to achieve enhanced outcomes is evidenced by an increasingly robust body of independent research. The channels through which investors demonstrate demand for sustainability information from companies vary.</t>
  </si>
  <si>
    <t>What factors drive demand for quality sustainability information within companies?</t>
  </si>
  <si>
    <t xml:space="preserve">Sustainability data, both qualitative and quantitative, can contribute to company success in the near, medium, and long term
by improving the management of sustainability-related risks and opportunities.
Where key performance indicators (KPIs) are
measured and managed, companies may
be better equipped to identify and mitigate
risks, reduce costs, optimize efficiencies,
and even increase market share and revenue growth through new products and
services. Indeed, by demonstrating an ability
to manage sustainability-related risks and
opportunities to bolster company performance, companies can leverage sustainability
disclosure to effectively communicate with
investors and improve cost of capital. Simply
put, demand for sustainability information within companies is often (though
not always) driven by the goal to improve
bottom-line performance. </t>
  </si>
  <si>
    <t>Besides companies and their investors, what other institutions influence demand for sustainability information across capital markets?</t>
  </si>
  <si>
    <t xml:space="preserve">The performance benefits that investors
and companies experience when integrating sustainability information into their
decision-making processes are not the only
factors driving demand for sustainability
information. Other organizations, both
public and private, influence the global ESG dialogue. International, national, and local
policy-based initiatives stimulate sustainability disclosure by passing recommendations
and guidance, as well as regulatory requirements, for the disclosure of sustainability
information from publicly-listed companies. Non-policy efforts, particularly those
initiated by securities exchanges and
industry associations, increasingly encourage
sustainability disclosure among listees and
members. </t>
  </si>
  <si>
    <t>Why was disclosure the basis of regulatory reform in the wake of the 1930’s stock market crash?</t>
  </si>
  <si>
    <t>The stock market crash of 1929 sent shockwaves throughout global markets, leading to global economic declines and the onset of the Great Depression in the United States. The event provides perhaps the most striking example of how lack of transparency in capital markets can have disastrous consequences – harming socioeconomic well-being, bankrupting companies, and eroding investors’ confidence in the information they rely on from companies to make investment decisions. Disclosure was the basis of regulatory reform in this defining period because disclosure is a means to promote transparency, and transparency is essential to fostering sound and efficient capital markets. As evidenced by the basis of the formation of the US SEC, regulated corporate disclosure is an effective mechanism to protect investors, positively influence corporate behavior, and enable informed investor decisions.</t>
  </si>
  <si>
    <t>What is the relevance of “materiality” in the context of disclosure, and how has the concept historically been interpreted?</t>
  </si>
  <si>
    <t>The concept of “materiality” traditionally focuses on information that impacts financial performance and investor decision-making. In the wake of regulatory efforts to enhance
transparency from corporations, the
concept was adopted to provide guidance
to reporting companies. Though companies were now held to higher standards of
transparency, to require the disclosure of all
information would place undue burden on
reporting companies. “Materiality” dictates
what companies are (and are not) obligated
to disclose.</t>
  </si>
  <si>
    <t>How has the purpose of accounting changed since the 1930s, and why did financial reporting move toward standardization?</t>
  </si>
  <si>
    <t>In early years, accounting practices centered around accurate recordkeeping via historical cost accounting. This founding purpose shaped the accounting profession, where accuracy and reliable record keeping are paramount. However, to serve their own unique goals, firms began accounting and reporting financial information using a range of methodologies, ultimately inhibiting the comparability of financial statements. This fragmentation of accounting practices necessitated a push by accounting associations to come to a consensus regarding the true purpose of accounting and to promote standardization. The profession ultimately determined that accounting exists to provide information for the purpose of making economic decisions, which can include both historical records and forward-looking information. High levels of adoption of standards such as the International Financial Reporting Standards (IFRS) and US GAAP allow investors around the world to efficiently source and use the information yielded through the standards. With higher levels of standardized disclosure comes more consistent, comparable, and reliable information across markets, allowing investors to equally assess and compare companies’ performance and prospects.</t>
  </si>
  <si>
    <t>What does the rise of intangible assets mean for corporate disclosure?</t>
  </si>
  <si>
    <t>The increasing proportion of intangible assets as a percent of total S&amp;P market value highlights that a very significant amount of information regarding corporate performance and value drivers is not captured in financial statements. Where investors previously relied almost exclusively on the valuation of tangible assets, it is now clear that tangible assets alone do not constitute a complete set of information that can be used to make informed investment decisions. A “gap” in information exists where intangible assets are not being clearly and consistently identified, measured, or managed.</t>
  </si>
  <si>
    <t>What factors contribute to increasing investor interest in non-financial information?</t>
  </si>
  <si>
    <t>In addition to increasing awareness of the “intangibles gap,” the value of non-financial disclosure was endorsed by key organizations in the financial reporting community, who collectively support the notion that business reporting, both financial and non-financial, needs to improve to better serve the users of company reports. As such, non-financial reporting became an imperative component of business reports, used to disclose information relevant to evaluating a company’s future financial condition and long-term value (including sustainability information) that is not reflected in financial reports. The growth of responsible investment practices also prompted an increased focus among investors on other sources of information that lend insight into company value, including a rejection of extreme short-termism and the recognition that longterm value generation falls within fiduciary duties of care.</t>
  </si>
  <si>
    <t>What challenges exist in sustainability disclosure that do not necessarily exist in financial disclosure?</t>
  </si>
  <si>
    <t>Relative to financial disclosure and accounting, sustainability disclosure is a young discipline. Due to this limited history and differences in the nature of sustainability data, several challenges manifest exclusively in sustainability disclosure for reporters and report users. For one, many different audiences are interested in sustainability information – including investors but also members of civil society and community members – meaning companies must balance the needs of different audiences. Where financial accounting relies on the expertise of a singular, long-established discipline, sustainability accounting relies on the expertise of professionals across disciplines (such as environmental sciences, human resources, and others). Challenges also exist related to the ESG data itself. Companies report on a wide range of ESG topics, often using different metrics and methodologies to measure performance. High variability in the scale and scope of ESG data across corporate disclosures can skew analysis and limit its comparability when analyzing companies.</t>
  </si>
  <si>
    <t>What does “climate first” disclosure guidance tell us about regulators’ approach to sustainability disclosure globally?</t>
  </si>
  <si>
    <t xml:space="preserve">Regulators and other institutions that issue new sustainability disclosure guidance often focus their guidance on climate information (rather than a more-comprehensive focus on environmental, social, and governance information, which can include climate information). Globally speaking, a focus on non-mandatory climate disclosure can be a means to overcome political obstacles to increase quality sustainability disclosure while also providing companies with a focused topic with which to ease into new
reporting expectations. Though there has
not been a visible, globally-coordinated
effort to follow this approach, this approach
can be observed across jurisdictions including the Canadian Securities Administration’s
Environmental Reporting Guidance, the
European Commission’s Non-Financial
Reporting Directive, and the US Securities
Exchange Commission’s 2010 Guidance. </t>
  </si>
  <si>
    <t>What are the four main characteristics of sustainability disclosure guidance?</t>
  </si>
  <si>
    <t>When looking closely at sustainability disclosure guidance published by regulators, there are several key characteristics that dictate what companies report and how they report it. These characteristics directly influence the utility of ESG information to investors. Interpretive guidance “interprets” or clarifies how sustainability disclosure applies to existing disclosure guidance. In other words, it requests or mandates sustainability disclosure without issuing a new rule or policy. Principles-based guidance provides a list of tenets that companies use to guide their reporting process. For example, principles-based guidance may require sustainability information to be “clear,” or that the disclosure include KPIs without stipulating precise requirements for what clear information looks like or listing specific KPIs to include. Comply-or-explain guidance often applies to new mandatory disclosure requirements, where companies must comply with reporting guidance or explain why they have not. Line-item disclosure guidance refers to the disclosure of sustainability information using specified metrics and methodologies to produce specific line items. These types of guidance vary in how flexibly they can be implemented (with interpretive guidance being the most flexible and line-item disclosure being the least).</t>
  </si>
  <si>
    <t>What two considerations must sustainability disclosure guidance balance, and how do disclosure standards help achieve that balance?</t>
  </si>
  <si>
    <t>As the spectrum of types of sustainability disclosure guidance illustrates, there are clear tradeoffs between flexible disclosure (which increases levels of sustainability disclosure and enables business-specific nuances in reporting) and disclosure that is useful to investors for its comparability, reliability, and decision-usefulness. Well-crafted sustainability disclosure standards may offer the most viable long-term solution to navigating this tradeoff to the benefit of companies, investors, and markets at large, as they can enable comparability without prohibiting companies from making useful adjustments or additions to their disclosure. They enable comparability where metrics are reported in the same way by different companies, but they can also enable disclosures tailored to a specific industry context and regulatory environment.</t>
  </si>
  <si>
    <t>What role do frameworks and standards play in the sustainability disclosure value chain?</t>
  </si>
  <si>
    <t xml:space="preserve">The sustainability disclosure value chain consists of organizations that produce information and organizations that use information. Disclosure frameworks and standards connect these producers and users. The information yielded through disclosure standards and frameworks underpins the entire value chain. They not only influence what companies disclose and how to do so, but are also leveraged by end-users to structure ESG data. Organizations that issue sustainability disclosure guidance such as CDP, CDSB, GRI, IIRC, SASB, and TCFD exist to create frameworks and standards that companies can leverage to increase transparency surrounding sustainability issues. They also tend to utilize market feedback loops to shape their frameworks
and standards, uniquely considering the
needs of reporting companies and the needs
of end users. </t>
  </si>
  <si>
    <t>What three types of organizations most influence ESG data quality, and how are they different from one another?</t>
  </si>
  <si>
    <t>The three organizations within the sustainability disclosure value chain that primarily influence ESG data quality include 1) organizations that issue sustainability disclosure guidance, 2) ESG data aggregators, and 3) third-parties that rate/rank company ESG performance. The organizations that develop guidance for sustainability disclosure (frameworks and standards) promote transparency of information in the market and tend to conduct their own operations with a high degree of transparency. Typically, frameworks and standards are free to access and all decisions regarding changes to guidance are conducted in a public manner. Data aggregators compile and present publicly available data, making it possible for investors to access and analyze data from a variety of companies in one place. Third-party rating and ranking providers employ unique methodologies to assess the ESG performance of individual companies and often source data from both public and private sources. Both data aggregators and ratings providers typically provide their products and services for a fee, meaning their methodologies are often protected intellectual property and they operate to serve customer needs. In this sense, these three types of organizations differ by their place within the value chain (data aggregators and ratings providers operate downstream from those that provide disclosure guidance), the products and services they provide, and their relationship with stakeholders and customers.</t>
  </si>
  <si>
    <t>What are some of the most common disclosure frameworks and standards? In what ways are they different? In what ways are they complementary?</t>
  </si>
  <si>
    <t>Some of the most commonly used frameworks and standards include CDP, CDSB, GRI, IIRC, SASB, and the TCFD. They differ based on the scope of information covered in their disclosure guidance, the type of guidance they provide (frameworks, standards, or other), the industry agnosticism or specificity of information produced through their guidance, target audience, approach to materiality, and the governance models employed to develop their guidance. Many often confuse the functionality of these organizations, however they each offer unique value propositions and can serve as complementary resources for corporate disclosure. This complementarity can best understood by focusing on two of the above characteristics: type of guidance and approach to materiality. Frameworks and standards serve distinct functions. Frameworks such as those issued by CDSB, IIRC, and TCFD offer a set of concepts and principles for how information is structured and prepared, and what broad topics are covered. Standards such as GRI and SASB offer a set of specific, replicable, and detailed guidance for what should be disclosed. By supplementing high-level disclosure principles with detailed and structured data, standards can make frameworks actionable. The second relates to each organization’s approach to materiality – or how they define material information for the purposes of sustainability disclosure. Organizations such as CDP and GRI primarily define material information as that which is needed to understand a company’s outward impact on the economy, environment, and people. Organizations such as CDSB, IIRC, SASB,and TCFD define material information as
that which is needed to understand the
impact of sustainability issues on enterprise
value. This dual definition of materiality –
focused on impact versus enterprise value
– exists because of companies’ need to
communicate to different audiences. The
former serves multiple stakeholders, which
may include communities, civil society, staff,
and providers of capital. The latter serves
providers of capital, or those concerned with
sustainability’s impact on financial condition,
operating performance, investment risk, and
return rates. _x000D_</t>
  </si>
  <si>
    <t>How do jurisdictions throughout the world traditionally define materiality?</t>
  </si>
  <si>
    <t>The concept of materiality has traditionally been defined by securities regulators and accounting standards bodies strictly in the context of financial disclosure. It focuses on determining the financial significance of a single piece of information, providing a framework for reporting companies to determine what information it must disclose. While definitions around the world are substantively the same, jurisdictional nuances exist regarding the use of thresholds as a means to determine materiality, the legal conceptualization of “the reasonable investor,” treatment of misrepresentations, misstatements, and omissions, and other factors.</t>
  </si>
  <si>
    <t>How do traditional characteristics of materiality apply to materiality in the context of sustainability disclosure?</t>
  </si>
  <si>
    <t>In the context of sustainability, materiality is often broadly defined as information that is relevant to the decisions of multiple stakeholders concerned with a company’s impact on surrounding society. However companies increasingly apply the more-traditional concept of materiality to sustainability information to communicate to investor
audiences through established disclosure
channels. In these cases, material sustainability information is treated in the same way
as material financial information, where the
scope of information is limited to that which
is necessary to understand a company’s
performance and prospects.</t>
  </si>
  <si>
    <t>What is “dynamic materiality” and how does it apply to sustainability information?</t>
  </si>
  <si>
    <t>Dynamic materiality refers to the concept that the materiality of sustainability issues can (and often does) change over time as new risks and opportunities emerge and our understanding of issues evolves. The concept of dynamic materiality illustrates the interplay between environmental and social issues and financial materiality. Take, for example, the issue of regional water scarcity. As water resources are depleted in a certain region, the topic increasingly becomes a crucial business issue for companies operating in the region that rely on water as a critical input.</t>
  </si>
  <si>
    <t>What are the three primary objectives of the SASB Standards, and how is the standard-setting process designed to meet those objectives?</t>
  </si>
  <si>
    <t xml:space="preserve">SASB Standards yield information that is financially material, decision-useful, and cost-effective. To meet the objective of financial materiality, SASB relies on a robust and iterative research process that assesses evidence of financial impact for each sustainability topic that appears in the Standards. This includes the assessment of a sustainability topic’s impact on revenues or costs, assets and liabilities, and cost of capital. To meet the objective of decision-usefulness, SASB assesses each disclosure topic and associated metrics according to a range of characteristics that together constitute
decision-useful information. Namely, each
disclosure topic is assessed for financial impact, level of interest in the topic
among providers of capital (including how
it relates to information they typically use
and monitor), prevalence among companies in an industry, and how actionable the
information is for company management.
Metrics are additionally assessed to ensure
they faithfully represent topic performance,
provide a complete set of information to
interpret performance, are comparable
between companies and over time, are
neutral and free from bias, are verifiable and
can be replicated by others following the
same guidance, are aligned with existing
industry standards and best practices, and
are understandable when incorporated into
investment decisions.
To meet the objective of cost-effectiveness,
the standards-development process balances
feedback from key stakeholders, including
reporting companies who provide insight
into the costs associated with the disclosure of specific topics and the Standards
collectively. When developing disclosure
metrics, SASB considers if the information is
already being collected by companies or if
it could be collected in a timely manner and
at a reasonable cost, aligning with existing
disclosure practices where possible. The
objective of financial materiality also directly
supports the objective of cost-effectiveness.
The Standards are meant to surface the
minimum set of disclosure topics that are
likely to be financially material to companies
in a given industry, helping companies avoid
generating excess information that is not
decision-useful. </t>
  </si>
  <si>
    <t>What are disclosure topics in a SASB Standard, and what purpose do they serve?</t>
  </si>
  <si>
    <t xml:space="preserve">Disclosure topics are the topics in each SASB Standard that are likely to have financially material impacts on a company in a given
industry. They represent the industry-specific impacts of General Issue Categories
(G.I.C.s). SASB accounting metrics are used
to measure company performance on a
disclosure topic. </t>
  </si>
  <si>
    <t>What are the different types of metrics in a SASB Standard, and what purpose do they each serve?</t>
  </si>
  <si>
    <t>There are two types of SASB metrics: accounting metrics and activity metrics. Accounting metrics can be either quantitative or narrative-based discussion and analysis (D&amp;A). Quantitative sustainability accounting metrics are useful to companies as KPIs and benchmarks, and highly useful to investment professionals in fundamental and comparative analysis. Meanwhile, discussion and analysis metrics provide key context where quantitative data might not provide useful insight into future performance on its own. Activity metrics, on the other hand, do not measure performance on a particular disclosure topic. Rather, they are used to quantify the scale of a business to support comparative analysis and are intended to be used in conjunction with accounting metrics.</t>
  </si>
  <si>
    <t>How does SASB achieve each of the four fundamental tenets to SASB’s approach to standard-setting?</t>
  </si>
  <si>
    <t xml:space="preserve">The tenets of SASB’s approach to standard-setting are: evidence-based, market-informed, industry-specific, and transparent. SASB relies on a robust and iterative research process to identify and monitor evidence of investor interest and evidence of financial impact associated with each sustainability disclosure topic using a range of diverse and credible sources. For the Standards to be market-informed, SASB actively solicits input and carefully weighs the perspectives of key stakeholders,
including reporting companies, investors,
creditors, lenders, and subject matter
experts. SASB develops disclosure standards at the industry level. This is crucial,
as sustainability topics affect industries in
unique ways. To do this, SASB relies on the
Sustainable Industry Classification System
(SICS), which categorizes industries based on
resource use, sustainability impacts, business
model, regulatory environment, and other
factors companies share related to sustainability risks and opportunities. Transparency
is embedded throughout the standard-setting process. During standard-setting, SASB
provides stakeholders with insight into the
standard-setting agenda, activities, deliberations, and decisions via key communication
documents, public comment periods, and
public board meetings. </t>
  </si>
  <si>
    <t>What two documents define SASB’s governance procedures, and what purpose do they each serve?</t>
  </si>
  <si>
    <t>SASB’s governance procedures are captured in the Conceptual Framework and Rules of Procedure. The Conceptual Framework defines the principles and characteristics of the standard-setting process, ensuring all standards are developed consistently, providing a framework to resolve questions that emerge throughout the standard-setting process, and allowing users of the standards to understand the process and have confidence in the quality of the standards. The Rules of Procedure establishes the processes and practices followed by SASB in its standard-setting activities and in its governance and oversight of related processes and practices. The importance of these two documents is unique to standard-setting organizations. Institutions such as FASB and IASB adhere to highly similar operating models guided by a conceptual framework and transparent procedures for standards development</t>
  </si>
  <si>
    <t>How do the SASB Standards evolve over time?</t>
  </si>
  <si>
    <t>SASB implements a project-based model for standards development, meaning projects are proposed in public Board meetings at key stages in the overarching process of conducting industry research, gathering market feedback, vetting evidence, exposing a new Standard or revision for public comment, and gaining Board approval. Proposals may be made to initiate a research project and, if research findings are promising, proposals may be made to initiate a standard-setting project. This process balancing the need for robust research with timely outcomes.</t>
  </si>
  <si>
    <t>What are two reasons why companies report using SASB Standards?</t>
  </si>
  <si>
    <t>Companies report using the SASB Standards for many reasons, but primarily do so to meet unique ESG disclosure objectives alongside other reporting frameworks (such as GRI, IIRC, or existing annual reports), and to communicate the link between sustainability management and financial performance to investors.</t>
  </si>
  <si>
    <t>Where do companies disclose SASB data?</t>
  </si>
  <si>
    <t>The focus of the Standards on financial materiality means that companies disclose SASB data through a variety of channels, including in annual reports and integrated reports, regulatory filings, annual sustainability reports, as a stand-alone SASB report, or in more periodic web-based reports. There is no single location where SASB information must be reported, and companies may choose the disclosure channel best suited to their audiences.</t>
  </si>
  <si>
    <t>How do companies disclose SASBaligned data when a Standard does not perfectly align with their business?</t>
  </si>
  <si>
    <t>The Sustainable Industry Classification System (SICS) was developed to identify the topics that are likely to be financially material to companies in a given industry. To develop the classification, SASB relied on characteristics of “pure play” companies, meaning companies that focus solely on a particular product or service. For example, companies in the Apparel, Accessories, and Footwear industry are presumed to only be involved in the design, manufacturing, wholesaling, and retailing of apparel, accessories, and footwear. As such, not all companies fit perfectly within one SICS industry. In these cases, companies may choose disclosure topics from secondary industries. In situations where a disclosure topic or metric does not apply to a particular business, companies may omit or modify the topic and metrics, and are asked to disclose their rationale for doing so.</t>
  </si>
  <si>
    <t>What presentation formats have companies embraced when reporting sustainability information aligned with SASB Standards?</t>
  </si>
  <si>
    <t>The way companies choose to present information disclosed using the SASB Standards varies. Companies increasingly publish assurance statements to signal the reliability of SASB-disclosed data, organize and format data in various ways and at multiple levels of granularity, provide data visualizations and time-series data, or present information in a downloadable spreadsheet to enable analysis. By looking at SASB disclosures at a company year-over-year, users can also get a sense of the extent to which a company has demonstrated continuous improvement and the extent to which disclosure quality may continue to improve in the future.</t>
  </si>
  <si>
    <t>In what ways do investors typically demonstrate demand for sustainability information to companies, and how has the growth of index funds shaped corporate-investor communication?</t>
  </si>
  <si>
    <t>Companies express demand for quality ESG information in a variety of ways, including public calls for enhanced disclosure, direct engagement with companies, shareholder proposals and proxy voting and, in some cases, through buy/sell decisions. Yet, underpinning this wave of demand for quality ESG information is a shift in market paradigms. As levels of index investing outpace individual holdings, investors are increasingly incentivized to work with companies to improve performance because they no longer have the discretion to select individual securities. In this way, the growth of index investing leads to more active engagement on ESG.</t>
  </si>
  <si>
    <t>How do SASB Standards support crossfunctional communication?</t>
  </si>
  <si>
    <t>Within companies, the SASB Standards can serve as a bridge between professional roles for communicating sustainability information. The process of disclosing sustainability information is also inherently cross-functional, requiring data collection from various business units, internal audit engagement, legal compliance, management approval, investor relations, and other functions to integrate sustainability information into their workflows. The Standards can help smooth internal communications by helping to identify a common set of metrics used to measure financially material sustainability topics that can integrate into existing information channels.</t>
  </si>
  <si>
    <t>Why do companies pursue sustainability disclosure?</t>
  </si>
  <si>
    <t>Companies may issue sustainability disclosures for different reasons. By aligning on the “why,” internal stakeholders can benefit
from a clearer understanding of informational and audience needs. Companies are
often motivated to take ownership of their
“sustainability story” to counterbalance or
reinforce the story told by third parties, and
to clearly communicate the topics management identifies as most important to the
firm. A company’s decision to disclose may
also be motivated by peer effects, may be a
direct response to investor requests, and/or
serve to maintain accountability while working to improve performance management. _x000D_</t>
  </si>
  <si>
    <t>How do metrics/KPIs contribute to a successful sustainable business strategy?</t>
  </si>
  <si>
    <t>Relevant KPIs can be the difference between effectively managing sustainability performance or experiencing performance declines. ESG metrics tied to financial materiality can directly inform business strategy, where metrics help to identify key opportunities for value creation, identify and mitigate ESG risks, and even contribute to achieving a sustained competitive advantage.</t>
  </si>
  <si>
    <t>How do disclosures based on SASB Standards help meet the needs of different types of investors?</t>
  </si>
  <si>
    <t>Across investment goals, strategies, asset classes and security types, investors leverage information yielded through the SASB Standards to support investment decisions. Whether it is an impact investor tracking certain KPIs, a fund manager applying positive or negative ESG screens, an equity analyst integrating ESG into fundamental analysis, a private equity fund engaging with companies on ESG performance goals, or a credit analyst bolstering risk analysis, the use of ESG data on financially material topics is used to enhance pre- and post-investment decision making.</t>
  </si>
  <si>
    <t>Why are SASB Standards best suited for ESG integration?</t>
  </si>
  <si>
    <t>With ESG integration, investors adjust traditional analysis using sustainability information, such as financial models adjusted for revenue, costs, off-balance-sheet liabilities, or adjustments to capital cost. The purpose is not to apply social or environmental values to investment decisions, but to consider whether ESG factors contribute to, or detract from, the financial prospects of a given investment opportunity. SASB Standards allow users to assess the material factors that may affect company or sector performance. This is achieved by intentional analysis of evidence of financial impact throughout the standards development process. SASB Standards are best suited for ESG integration because they are directly linked to the channels of financial impact that are relevant to assessing investment prospects.</t>
  </si>
  <si>
    <t>How is the use of sustainability information in corporate fixed-income different from the use of sustainability information in public equity? How is this similar or different from the use of sustainability information in private equity?</t>
  </si>
  <si>
    <t xml:space="preserve">The similarities and differences between the use of ESG information across public equity, private equity, and fixed income are nuanced and depend on the specific goals and expertise of the investor. However differences across these asset classes fall at the lines of evaluating upside potential, downside risk, and levels of company engagement. Public equity investors conduct analyses to price securities and evaluate future returns. As such, their ESG analysis will focus both on risks and opportunities related to the firm, with the particular goal of evaluating upside potential. In fixed income, investors are primarily concerned with evaluating a company’s ability to repay and are concerned with factors that may influence default probability and loss
severity. Here, investors’ primary (though
no singular) concern revolves around a
company’s ability to manage ESG-related
risks and protect against downside risk. In
private equity, investors traditionally take on
a more involved role – engaging with the
company throughout due diligence and the
holding period, and often bringing a certain
level of managerial expertise to support the
company. Here, ESG is often used to identify
KPIs and manage performance against those
KPIs over time. </t>
  </si>
  <si>
    <t>What challenges inhibit investors’ ability to use sustainability data?</t>
  </si>
  <si>
    <t xml:space="preserve">Investors experience a wide range of challenges related to sustainability data in the
current landscape. For one, there is an abundance of binary, policy-based data and a lack
of quantitative performance data disclosed
from companies, meaning investors often
have trouble obtaining information that
lends direct insight into company performance related to sustainability factors. Even
where companies do disclose quantitative
performance information, it is not always
comparable, as companies reporting on the
same ESG topic often use different metrics
and methodologies. In addition, widely-used
third party ratings providers typically use
different scoring methodologies and data
inputs, which can skew analysis for those
reliant upon third-party ratings and rankings.
Sustainability data is also often limited to
that which has been historically captured
or is easiest to capture, which in some
cases can make it difficult for investors
to interpret where data captures partial
performance of performance of the whole
entity. Historically, sustainability data has
not been subject to internal controls, board
oversight, or assurance processes, limiting its
reliability. In addition, a significant amount of sustainability data disclosed by companies
is not financially material, making it difficult for investors to differentiate between
information that is or is not relevant to their
investment decisions. As demand for quality
sustainability information increases, investors
increasingly request specific data through a
range channels, inundating companies with
different requests and impairing efficient
communication between companies and
their investors. </t>
  </si>
  <si>
    <t xml:space="preserve">Assessment Level </t>
  </si>
  <si>
    <t>Description</t>
  </si>
  <si>
    <t xml:space="preserve">Assessment  Process </t>
  </si>
  <si>
    <t>Guidance Item Level</t>
  </si>
  <si>
    <t>Detailed analysis of each ESG disclosure item</t>
  </si>
  <si>
    <t>Text extraction from sustainability reports
-&gt; Text similarity scoring against ESG framework -&gt;
Quality and quantity analvsis</t>
  </si>
  <si>
    <t>Theme Level</t>
  </si>
  <si>
    <t>Aggregated score of all guidance items under a single ESG theme</t>
  </si>
  <si>
    <t>Grouping of guidance items -&gt;
Aggregation of scores using predefined statistical method</t>
  </si>
  <si>
    <t>Overall ESG Disclosure Maturity</t>
  </si>
  <si>
    <t>Comprehensive score reflecting the company's overall ESG disclosure maturity</t>
  </si>
  <si>
    <t xml:space="preserve">Calculation of composite score from theme level scores -&gt;
Categorization into maturity levels (nascent, developing, mature)
</t>
  </si>
  <si>
    <t>metrics</t>
  </si>
  <si>
    <t>Carbon emissions intensity</t>
  </si>
  <si>
    <t>Value Chain Emissions Intensity (S3)</t>
  </si>
  <si>
    <t>Carbon reserves intensity</t>
  </si>
  <si>
    <t>Green revenues</t>
  </si>
  <si>
    <t>Temperature Alignment</t>
  </si>
  <si>
    <t>Biodiversity Programme</t>
  </si>
  <si>
    <t>Deforestation Programme</t>
  </si>
  <si>
    <t>Water Management Programme</t>
  </si>
  <si>
    <t>Women on the board</t>
  </si>
  <si>
    <t>Women at executive level</t>
  </si>
  <si>
    <t>Women in management</t>
  </si>
  <si>
    <t>Women in the workforce</t>
  </si>
  <si>
    <t>Bribery and corruption policy</t>
  </si>
  <si>
    <t>Freedom of association policy</t>
  </si>
  <si>
    <t>Discrimination policy</t>
  </si>
  <si>
    <t>Supply chain policy</t>
  </si>
  <si>
    <t>Employee incidents</t>
  </si>
  <si>
    <t>Business ethics incidents</t>
  </si>
  <si>
    <t>Free float</t>
  </si>
  <si>
    <t>Equal voting rights</t>
  </si>
  <si>
    <t>Independence of the Chair</t>
  </si>
  <si>
    <t>Independent directors on the board</t>
  </si>
  <si>
    <t>Board tenure</t>
  </si>
  <si>
    <t>Non-audit fees paid to auditors</t>
  </si>
  <si>
    <t>Audit committee expertise</t>
  </si>
  <si>
    <t>Auditor opinion of the accounts</t>
  </si>
  <si>
    <t>Lobbying Activities</t>
  </si>
  <si>
    <t>Director Disclosure</t>
  </si>
  <si>
    <t>Remuneration Disclosure</t>
  </si>
  <si>
    <t>Scope of GHG emissions</t>
  </si>
  <si>
    <t>Verification of ESG reporting standards</t>
  </si>
  <si>
    <t>ESG reporting standards</t>
  </si>
  <si>
    <t>Tax Disclosure</t>
  </si>
  <si>
    <t>Topic</t>
  </si>
  <si>
    <t>Paragraph</t>
  </si>
  <si>
    <t>Source</t>
  </si>
  <si>
    <t>Supplier Diversity</t>
  </si>
  <si>
    <t xml:space="preserve">Supplier Diversity
Grainger’s Supplier Diversity Program
assists customers in diversifying
their supply chains and promotes
the growth of underrepresented
supplier groups in the United States.
Grainger has more than 20 years of
experience partnering with small
and diverse businesses through
two core programs.
Grainger’s Tier 1 Channel Development
program helps customers meet their
diversity procurement goals through
the use of certified Diverse Business
Enterprise (DBE) authorized resellers.
Grainger’s Tier 1 Channel Development
(CD) program is designed to deepen
our customer relationships and identify
ways to deliver greater value to existing
customers and customers in new
markets. The reseller program enables
MRO resellers and customers greater
access to products and services
and provides reach to segments
and contracts typically mandated or
prioritized for small businesses/diverse
business enterprises (DBEs). The
program allows Grainger resellers to
offer niche, value-added services and
a broader selection of products.
Grainger’s Tier 2 Supplier Diversity
program helps customers to diversify
their supply chains and promote the
growth of underrepresented supplier
groups. This portfolio offers more
than 720,000 products from more
than 2,800 key small and/or diverse
suppliers. In 2021, Grainger U.S.
spent more than $1.6 billion1
with more than 6,600 small
businesses, and $278 million
with over 680 minority-, woman-,
veteran-, disabled-person- and
LGBT-owned businesses for
goods and services.
In 2021, leveraging the Grainger
product portfolio of over 1.5M
products stocked, these diverse
authorized Grainger resellers
sold over $264M to more than
4,200 customers.
Grainger is also a corporate member
of the Women’s Business Enterprise
National Council, participates in
virtual trade and networking events,
and develops mentor-protegee
relationships with diverse businesses. </t>
  </si>
  <si>
    <t>Grainger</t>
  </si>
  <si>
    <t>Supplier Diversity We recognize that increasing the use of diverse suppliers enables us to create value across our business. A diverse supply chain strengthens our operations, supports our communities and enhances our client experience. Nasdaq’s Supplier Diversity Program is a crucial component of our commitment to equity, diversity and inclusion. We work with qualified businesses owned by diverse individuals or groups, members of the LGBTQ+ community, people with disabilities, women and veterans. Nasdaq encourages its suppliers to not only promote a diverse and inclusive workplace, but also engage with diverse-owned businesses. Nasdaq’s Supplier Code of Ethics reflects our extended commitment to growing diversity in our supply chain. In 2022, Nasdaq engaged new suppliers and existing top suppliers to attest to our Supplier Code of Ethics, confirming they have policies and practices consistent with ours and to the extent they do not, will adhere to the applicable standards in our Supplier Code of Ethics. In 2022, we set multi-year supplier diversity goals, in terms of both spend amount and number of diverse suppliers, to demonstrate our dedication to building long-term, sustainable growth in the program. Nasdaq set a goal to increase the percent in addressable spend from U.S.-based diverse-owned suppliers from 4.3% in 2021 to 5.3% in 2022 – a goal we out-performed – achieving 6.8% in diverse supplier spend. We did so by working with supplier diversity organizations, exercising policies in our contingent worker program and leveraging configurations on our retail purchases platform to promote diverse suppliers. Through these initiatives and others, we added 113 new diverse suppliers, which represents over $1.4 million in supplier spend in 2022. To further demonstrate our dedication to grow our Supplier Diversity Program in 2023, Nasdaq has a goal to: • increase the percent of addressable spend with diverse-owned businesses by 0.5 percentage points to at least 7.3% and • increase the number of addressable diverse-owned suppliers by 6% from the 2021 baseline of 121 to 128.</t>
  </si>
  <si>
    <t>Nasdaq</t>
  </si>
  <si>
    <t>Increasing Supplier Diversity, Equity, &amp; Inclusion Supplier diversity is one of the most powerful ways that a company delivers on diversity, equity, and inclusion (DEI). It also increases a company’s ability to innovate and expand while providing multiple channels to drive competition. Coupa helps customers increase supplier diversity and inclusion through their spend. Our journey accelerated with our acquisition of ConnXus in 2020, a provider of global diversity reporting solutions, which helped jump start the integration of diversity-ownership data into Community.ai. We continue to enhance our diversity data and build supplier diversity capabilities across the Coupa platform. Moving forward, we will also develop new partnerships with diversity certification bodies around the globe and help remove the silos that persist for supplier diversity teams in their day-to-day activities. In 2021, Coupa partnered with Minority Supplier Diversity UK (MSDUK) to help grow diverse spending in the UK with ethnic minority-owned businesses. Advancing innovation over this last year, supplier diversity has expanded across more applications in the BSM platform. This includes: • Providing the ability to report on which suppliers are small and diverse-owned businesses, while also fostering an increase in diverse spend by allowing customers to find new diverse suppliers, source from those suppliers, and immediately direct more spend to them. • Using diversity data for sourcing events to be launched or paused if supplier inclusion goals are not included in RFIs or RFPs. Customers can now notify stakeholders when at least one small or diverse supplier is included in the event, or stop it until a diverse supplier is added. This is unique to Coupa customers because we are bringing diversity data to spend decisions happening in real-time, instead of having to rely on separate applications. With the launch of the Supplier Diversity Dashboard in 2021, we have been able to measure utilization and impact. We saw a monthly usage of ~1,100 visits across 250+ customers. Additionally, we enabled community benchmarks for the major small and diverse supplier categories as part of Community.ai, and we currently see best-in-class leaders in the Coupa Community attain 20% or more diverse spend. With our efforts and in collaboration with our customers and partners, we hope to see this number increase in 2022. In addition to providing these benchmarks, our platform provides prescriptive insights to help influence increased spend with more small businesses Billions and diverse suppliers. of dollars Total Small Business &amp; Diverse Supplier Spend in Community 2021 In 2022, we continue our focus on enhancing supplier diversity through Tier 2 data collection and reporting, enhanced Tier 1 spend and category reports, increased granularity of minority categories in certain regions, and expanded global diversity data from new sources and agencies.</t>
  </si>
  <si>
    <t>Coupa</t>
  </si>
  <si>
    <t>Supplier Diversity In 2022, we continued to provide access to embed and activate supplier diversity best practices across both the merchandising and non-merchandising supply chains to support our pledge to triple our spend by 2025. Economic Impact In 2022, we saw growth in both diverse supplier count and spend. Kohl’s increased spend with diverse suppliers by over 37% and increased supplier count by 70%. We expanded our external partnerships by participating in expert panel discussions, serving on subcommittees, and financially sponsoring several supplier outreach and matchmaking events. Mentorship Led by our sourcing managers and in partnership with the Supplier Diversity Council and BRGs, Kohl’s established a formalized mentorship program with the intent to expand capacity building for diverse suppliers. In 2022, 11 mentees successfully completed the program. Through the Kohl’s Supplier Diversity Mentorship program, mentees have the opportunity to meet with key decision-makers and industry experts to assist with overall business development. By participating in the program, Kohl’s will support the mentee to reach their goals in all facets of business development. This will further prepare them when working with Kohl’s and other Fortune 500 companies. Certification We worked to build a best-in-class program by promoting diverse certification status through our partnerships with diverse external organizations. Additionally, we provided diverse suppliers with procedural and financial certification support. In 2022, Kohl’s underwrote certification fees for five diverse suppliers. Tier 2 In 2022, we continued to onboard additional primary suppliers into our Tier 2 program, bringing the total number of suppliers reporting to 49. In our Tier 2 program, we encourage our primary suppliers to report their spend with diverse suppliers who directly support Kohl’s goods and services. We highly encourage our business partners to implement policies and procedures to drive growth in their supplier diversity program. Our Tier 2 program will expand in 2023 and beyond.</t>
  </si>
  <si>
    <t>Kohl's</t>
  </si>
  <si>
    <t xml:space="preserve"> Here is a draft supplier diversity disclosure:
At [Company Name], we are committed to fostering a diverse and inclusive supply chain. We believe that partnering with minority, women, veteran, LGBTQ+, and disability-owned businesses strengthens our business, supports innovation, and positively impacts the communities we serve. 
Our Supplier Diversity Program aims to increase procurement opportunities for diverse businesses. We actively seek out and develop relationships with diverse suppliers who can provide competitive, high-quality goods and services. 
To measure our progress, we set annual supplier diversity spend targets. In [Year], our spend with minority, women, veteran, LGBTQ+, and disability-owned suppliers was $[X] million, representing [X]% of our total procurement spend. Our goal for [Upcoming Year] is to increase our diverse supplier spend to [X]% of total procurement spend. 
We are proud members of various national and regional organizations that certify diverse suppliers, including the National Minority Supplier Development Council, Women's Business Enterprise National Council, and the US Pan Asian American Chamber of Commerce. Our partnerships with these organizations provide valuable opportunities to identify, connect with, and develop minority, women, veteran, LGBTQ+, and disability-owned suppliers.
Internally, we have a Supplier Diversity Council comprised of senior leaders across the company. The Council oversees our program strategy and drives accountability for results. We also provide training to our employees on the importance and business case for supplier diversity.
At [Company Name], we will continue to enhance our Supplier Diversity Program to drive innovation, strengthen our supply chain, and positively impact diverse communities. We are committed to developing mutually beneficial, long-term business partnerships with certified diverse suppliers.</t>
  </si>
  <si>
    <t>Claude Generated</t>
  </si>
  <si>
    <t>Promoting Health and Wellbeing</t>
  </si>
  <si>
    <t>Promoting Health and Wellbeing at Work
We know that health is an important aspect of our lives and that total
health, including the physical, mental, work and life components are
crucial to our overall happiness. We promote and encourage our
team to lead healthy lives and to support this, we have boosted the
team’s awareness and knowledge of our Wellbeing Pillars.
Our framework guides our health and wellbeing initiatives,
underpinned by five core elements; nourish, move, mind, sleep
and sustain.
1. Nourish: Understanding how to use food as medicine to nourish
our body, mind and ambitions in life. We have replaced unhealthy
snacks in the office for whole foods and high protein, low sugar
and low GI snack foods.
2. Move: Learning how adequate and effective movement is
fundamental to our health and how to support our body best
during exercise and sport.
3. Mind: Discovering what drives our thoughts and moods and how
to direct them. Our CEO led weekly meditation classes during
COVID-19 to assist with the team’s mental stability.
4. Sleep: Understanding guidelines to sleeping peacefully for optimal
physical and mental repair and performance.
5. Sustain: Each of these pillars are brought together for sustainable
wellbeing at work, home and play.</t>
  </si>
  <si>
    <t>Aventus Group</t>
  </si>
  <si>
    <t>Promoting Health and Wellbeing At Nasdaq, we recognize and value the importance of health and wellbeing. We understand the impact health and wellbeing has on productivity and employee engagement. We also recognize the important role that our leaders play in creating a culture of wellbeing and belonging. As part of our employee engagement survey, we measure “my manager genuinely cares about my wellbeing” and we have seen favorable scores of over 90% over the past 12 months. We also recognize the importance of investing in our people. Our employees, their families and their communities are important to us. We offer a holistic suite of programs, benefits and resources, known as You&amp;Q, to meet our employees where they are – in their lives and career journeys. Whether our employees are focused on prioritizing their health, building their wealth, caring for their family, growing their career or connecting with their community, our You&amp;Q program has something to help them prioritize and focus on their wellbeing. • Prioritize Your Health: Everyone has different healthcare needs which is why we offer a diverse set of benefits and wellbeing programs to optimize health including medical, dental, vision coverage, health care flexible spending accounts, Employee Assistance Program (EAP), the Calm app, membership to Peloton and access to Sleepio, a digital sleep improvement program. • Build Your Wealth: In addition to base salary and incentive plans, we are committed to rewarding our employees’ contributions and helping them have a prosperous future through the following programs: employee stock purchase plan, short-term and long-term disability, 401(k) match, student loan program and various other employee perks. • Caring for Your Family: We recognize and value that employees have a life outside of Nasdaq and offer the following programs to support our employees’ family life: fertility coverage, paid parental leave, adoption/surrogacy assistance and optional pet insurance. • Grow Your Career: Our robust learning opportunities and tuition reimbursement enable our employees to advance their capabilities and grow in their career. • Connect with Your Community: We encourage our employees to engage, support and empower their local community through our robust network of employee resource groups, charitable matching program and paid time off to volunteer. You&amp;Q is designed to be both inclusive and representative of the diverse needs of our employees, with the ability to evolve to meet the changing needs of Nasdaq and our workforce. As an example, in response to the pandemic, enhancements such as caregiver support, back-up childcare, hybrid work schedules and flex days were introduced. Flex days (currently six per year) are dedicated days for employees to care specifically for their own mental health and wellbeing. These programs are now here to stay as a result of the positive feedback from our employees. In 2023 and beyond, we are continuing to focus on enhancing a culture of belonging and wellbeing at Nasdaq. For more information about our employee benefits, visit our Career website.</t>
  </si>
  <si>
    <t xml:space="preserve"> Here are a few draft paragraphs about Promoting Health and Wellbeing that could be included in a sustainability report:
At Company XYZ, we are committed to fostering a culture of health, wellness and work-life balance for our employees. We believe that promoting employee health and wellbeing leads to greater engagement, productivity and satisfaction. 
To support our employees' physical health, we provide comprehensive medical insurance, annual health screenings, an onsite gym and workout classes, and healthy food options in our cafeteria. We encourage employees to take walking breaks during the workday and participate in our corporate running/walking challenges. 
For mental and emotional health, we offer an Employee Assistance Program providing confidential counseling and referral services. We also promote digital tools like meditation and sleep apps to employees. During the pandemic, we held virtual seminars on managing anxiety, loneliness and burnout.
To encourage work-life balance, we have generous paid time off policies, flextime scheduling, and remote work options. New parents can take advantage of paid parental leave. We also hold seminars on time management, stress reduction, and work-life balance.
The health of our employees and communities matters to us. We will continue exploring new ways to support holistic employee wellbeing and maintain an energizing, inclusive work culture where people can thrive. Investing in our human capital is key to our vision of sustainable growth for all stakeholders.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</si>
</sst>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2">
    <font>
      <sz val="11"/>
      <color theme="1"/>
      <name val="Calibri"/>
      <family val="2"/>
      <scheme val="minor"/>
    </font>
    <font>
      <sz val="11"/>
      <color theme="1"/>
      <name val="Found"/>
    </font>
    <font>
      <sz val="11"/>
      <color theme="1"/>
      <name val="Calibri"/>
      <family val="2"/>
      <scheme val="minor"/>
    </font>
    <font>
      <sz val="11"/>
      <color theme="1"/>
      <name val="Founders Grotesk Light"/>
    </font>
    <font>
      <b/>
      <sz val="11"/>
      <color theme="1"/>
      <name val="Calibri"/>
      <family val="2"/>
      <scheme val="minor"/>
    </font>
    <font>
      <b/>
      <sz val="11"/>
      <color theme="1"/>
      <name val="Calibri"/>
      <family val="2"/>
    </font>
    <font>
      <sz val="11"/>
      <color rgb="FF000000"/>
      <name val="Calibri"/>
      <family val="2"/>
    </font>
    <font>
      <b/>
      <sz val="12"/>
      <color theme="1"/>
      <name val="Calibri"/>
      <family val="2"/>
      <scheme val="minor"/>
    </font>
    <font>
      <sz val="13.5"/>
      <color rgb="FF1C1917"/>
      <name val="-Apple-System"/>
      <charset val="1"/>
    </font>
    <font>
      <sz val="11"/>
      <color rgb="FF444444"/>
      <name val="Calibri"/>
      <family val="2"/>
      <charset val="1"/>
    </font>
    <font>
      <sz val="12"/>
      <color rgb="FF1F2937"/>
      <name val="Source Sans Pro"/>
      <charset val="1"/>
    </font>
    <font>
      <sz val="11"/>
      <color rgb="FF1C1917"/>
      <name val="Calibri"/>
      <family val="2"/>
      <scheme val="minor"/>
    </font>
  </fonts>
  <fills count="17">
    <fill>
      <patternFill patternType="none"/>
    </fill>
    <fill>
      <patternFill patternType="gray125"/>
    </fill>
    <fill>
      <patternFill patternType="solid">
        <fgColor theme="0"/>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2" tint="-9.9978637043366805E-2"/>
        <bgColor indexed="64"/>
      </patternFill>
    </fill>
    <fill>
      <patternFill patternType="solid">
        <fgColor rgb="FFFFFFFF"/>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theme="8" tint="0.39997558519241921"/>
        <bgColor indexed="64"/>
      </patternFill>
    </fill>
    <fill>
      <patternFill patternType="solid">
        <fgColor theme="4" tint="0.39997558519241921"/>
        <bgColor indexed="64"/>
      </patternFill>
    </fill>
    <fill>
      <patternFill patternType="solid">
        <fgColor rgb="FFF9FAFB"/>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rgb="FFF58484"/>
        <bgColor indexed="64"/>
      </patternFill>
    </fill>
    <fill>
      <patternFill patternType="solid">
        <fgColor theme="7" tint="0.79998168889431442"/>
        <bgColor indexed="64"/>
      </patternFill>
    </fill>
  </fills>
  <borders count="3">
    <border>
      <left/>
      <right/>
      <top/>
      <bottom/>
      <diagonal/>
    </border>
    <border>
      <left/>
      <right/>
      <top/>
      <bottom style="medium">
        <color indexed="64"/>
      </bottom>
      <diagonal/>
    </border>
    <border>
      <left/>
      <right/>
      <top/>
      <bottom style="thin">
        <color indexed="64"/>
      </bottom>
      <diagonal/>
    </border>
  </borders>
  <cellStyleXfs count="3">
    <xf numFmtId="0" fontId="0" fillId="0" borderId="0"/>
    <xf numFmtId="9" fontId="2" fillId="0" borderId="0" applyFont="0" applyFill="0" applyBorder="0" applyAlignment="0" applyProtection="0"/>
    <xf numFmtId="43" fontId="2" fillId="0" borderId="0" applyFont="0" applyFill="0" applyBorder="0" applyAlignment="0" applyProtection="0"/>
  </cellStyleXfs>
  <cellXfs count="40">
    <xf numFmtId="0" fontId="0" fillId="0" borderId="0" xfId="0"/>
    <xf numFmtId="0" fontId="1" fillId="0" borderId="0" xfId="0" applyFont="1"/>
    <xf numFmtId="0" fontId="3" fillId="2" borderId="0" xfId="0" applyFont="1" applyFill="1"/>
    <xf numFmtId="0" fontId="4" fillId="0" borderId="0" xfId="0" applyFont="1"/>
    <xf numFmtId="0" fontId="5" fillId="0" borderId="1" xfId="0" applyFont="1" applyBorder="1"/>
    <xf numFmtId="0" fontId="5" fillId="0" borderId="1" xfId="0" applyFont="1" applyBorder="1" applyAlignment="1">
      <alignment horizontal="left"/>
    </xf>
    <xf numFmtId="9" fontId="0" fillId="0" borderId="0" xfId="1" applyFont="1"/>
    <xf numFmtId="0" fontId="0" fillId="0" borderId="0" xfId="0" applyAlignment="1">
      <alignment wrapText="1"/>
    </xf>
    <xf numFmtId="0" fontId="6" fillId="0" borderId="0" xfId="0" applyFont="1"/>
    <xf numFmtId="0" fontId="0" fillId="3" borderId="0" xfId="0" applyFill="1"/>
    <xf numFmtId="0" fontId="6" fillId="4" borderId="0" xfId="0" applyFont="1" applyFill="1"/>
    <xf numFmtId="0" fontId="0" fillId="4" borderId="0" xfId="0" applyFill="1"/>
    <xf numFmtId="0" fontId="0" fillId="5" borderId="0" xfId="0" applyFill="1"/>
    <xf numFmtId="0" fontId="1" fillId="0" borderId="0" xfId="0" applyFont="1" applyAlignment="1">
      <alignment wrapText="1"/>
    </xf>
    <xf numFmtId="0" fontId="6" fillId="0" borderId="0" xfId="0" applyFont="1" applyAlignment="1">
      <alignment wrapText="1"/>
    </xf>
    <xf numFmtId="0" fontId="0" fillId="0" borderId="0" xfId="0" applyAlignment="1">
      <alignment horizontal="left" vertical="center" wrapText="1"/>
    </xf>
    <xf numFmtId="0" fontId="6" fillId="6" borderId="0" xfId="0" applyFont="1" applyFill="1"/>
    <xf numFmtId="0" fontId="0" fillId="7" borderId="0" xfId="0" applyFill="1" applyAlignment="1">
      <alignment wrapText="1"/>
    </xf>
    <xf numFmtId="0" fontId="7" fillId="0" borderId="0" xfId="0" applyFont="1"/>
    <xf numFmtId="0" fontId="0" fillId="0" borderId="0" xfId="0" applyAlignment="1">
      <alignment vertical="center"/>
    </xf>
    <xf numFmtId="0" fontId="0" fillId="8" borderId="0" xfId="0" applyFill="1" applyAlignment="1">
      <alignment wrapText="1"/>
    </xf>
    <xf numFmtId="0" fontId="0" fillId="4" borderId="0" xfId="0" applyFill="1" applyAlignment="1">
      <alignment wrapText="1"/>
    </xf>
    <xf numFmtId="0" fontId="0" fillId="9" borderId="0" xfId="0" applyFill="1" applyAlignment="1">
      <alignment wrapText="1"/>
    </xf>
    <xf numFmtId="0" fontId="0" fillId="10" borderId="0" xfId="0" applyFill="1" applyAlignment="1">
      <alignment wrapText="1"/>
    </xf>
    <xf numFmtId="0" fontId="0" fillId="10" borderId="0" xfId="0" applyFill="1"/>
    <xf numFmtId="0" fontId="8" fillId="0" borderId="0" xfId="0" applyFont="1"/>
    <xf numFmtId="0" fontId="4" fillId="0" borderId="2" xfId="0" applyFont="1" applyBorder="1"/>
    <xf numFmtId="0" fontId="9" fillId="0" borderId="0" xfId="0" applyFont="1"/>
    <xf numFmtId="164" fontId="0" fillId="0" borderId="0" xfId="2" applyNumberFormat="1" applyFont="1" applyAlignment="1">
      <alignment wrapText="1"/>
    </xf>
    <xf numFmtId="0" fontId="10" fillId="11" borderId="0" xfId="0" applyFont="1" applyFill="1"/>
    <xf numFmtId="0" fontId="10" fillId="0" borderId="0" xfId="0" applyFont="1"/>
    <xf numFmtId="0" fontId="11" fillId="6" borderId="0" xfId="0" applyFont="1" applyFill="1"/>
    <xf numFmtId="0" fontId="4" fillId="0" borderId="0" xfId="0" applyFont="1" applyAlignment="1">
      <alignment wrapText="1"/>
    </xf>
    <xf numFmtId="0" fontId="0" fillId="12" borderId="0" xfId="0" applyFill="1"/>
    <xf numFmtId="0" fontId="0" fillId="13" borderId="0" xfId="0" applyFill="1"/>
    <xf numFmtId="0" fontId="4" fillId="0" borderId="2" xfId="0" applyFont="1" applyBorder="1" applyAlignment="1">
      <alignment wrapText="1"/>
    </xf>
    <xf numFmtId="0" fontId="0" fillId="14" borderId="0" xfId="0" applyFill="1"/>
    <xf numFmtId="0" fontId="0" fillId="15" borderId="0" xfId="0" applyFill="1"/>
    <xf numFmtId="0" fontId="0" fillId="16" borderId="0" xfId="0" applyFill="1"/>
    <xf numFmtId="0" fontId="0" fillId="0" borderId="0" xfId="0" applyAlignment="1">
      <alignment horizontal="center" vertical="center" wrapText="1"/>
    </xf>
  </cellXfs>
  <cellStyles count="3">
    <cellStyle name="Comma" xfId="2" builtinId="3"/>
    <cellStyle name="Normal" xfId="0" builtinId="0"/>
    <cellStyle name="Percent" xfId="1" builtinId="5"/>
  </cellStyles>
  <dxfs count="1">
    <dxf>
      <fill>
        <patternFill patternType="solid">
          <fgColor rgb="FFC6E0B4"/>
          <bgColor rgb="FF000000"/>
        </patternFill>
      </fill>
    </dxf>
  </dxfs>
  <tableStyles count="0" defaultTableStyle="TableStyleMedium2" defaultPivotStyle="PivotStyleLight16"/>
  <colors>
    <mruColors>
      <color rgb="FFF5848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A2BC6-2086-40F3-82D4-B456DAB7439A}">
  <dimension ref="A1:N78"/>
  <sheetViews>
    <sheetView zoomScale="150" workbookViewId="0">
      <selection activeCell="B13" sqref="B13"/>
    </sheetView>
  </sheetViews>
  <sheetFormatPr defaultColWidth="8.85546875" defaultRowHeight="15"/>
  <cols>
    <col min="1" max="1" width="26" customWidth="1"/>
    <col min="2" max="2" width="58" customWidth="1"/>
    <col min="3" max="3" width="18.7109375" customWidth="1"/>
    <col min="4" max="5" width="23.28515625" customWidth="1"/>
    <col min="6" max="6" width="10.7109375" bestFit="1" customWidth="1"/>
    <col min="10" max="10" width="26.28515625" customWidth="1"/>
  </cols>
  <sheetData>
    <row r="1" spans="1:12" s="3" customFormat="1">
      <c r="A1" s="4" t="s">
        <v>0</v>
      </c>
      <c r="B1" s="5" t="s">
        <v>1</v>
      </c>
      <c r="C1" s="5" t="s">
        <v>2</v>
      </c>
      <c r="D1" s="5" t="s">
        <v>3</v>
      </c>
      <c r="E1" s="5" t="s">
        <v>4</v>
      </c>
      <c r="F1" t="s">
        <v>5</v>
      </c>
      <c r="G1" t="s">
        <v>6</v>
      </c>
      <c r="H1" t="s">
        <v>7</v>
      </c>
    </row>
    <row r="2" spans="1:12">
      <c r="A2" t="s">
        <v>8</v>
      </c>
      <c r="B2" t="s">
        <v>9</v>
      </c>
      <c r="C2" t="s">
        <v>5</v>
      </c>
      <c r="D2" t="s">
        <v>10</v>
      </c>
      <c r="E2" t="s">
        <v>11</v>
      </c>
      <c r="F2">
        <f>COUNTIF(C:C,"Quantitative")</f>
        <v>39</v>
      </c>
      <c r="G2">
        <f>COUNTIF(C:C,"Yes/No")</f>
        <v>24</v>
      </c>
      <c r="H2">
        <f>COUNTIF(C:C,"Qualitative")</f>
        <v>11</v>
      </c>
      <c r="J2" s="6"/>
      <c r="K2" s="6"/>
      <c r="L2" s="6"/>
    </row>
    <row r="3" spans="1:12">
      <c r="A3" t="s">
        <v>8</v>
      </c>
      <c r="B3" t="s">
        <v>12</v>
      </c>
      <c r="C3" t="s">
        <v>5</v>
      </c>
      <c r="D3" t="s">
        <v>10</v>
      </c>
      <c r="E3" t="s">
        <v>11</v>
      </c>
    </row>
    <row r="4" spans="1:12">
      <c r="A4" t="s">
        <v>8</v>
      </c>
      <c r="B4" s="8" t="s">
        <v>13</v>
      </c>
      <c r="C4" t="s">
        <v>5</v>
      </c>
      <c r="D4" t="s">
        <v>14</v>
      </c>
    </row>
    <row r="5" spans="1:12">
      <c r="A5" t="s">
        <v>8</v>
      </c>
      <c r="B5" t="s">
        <v>15</v>
      </c>
      <c r="C5" t="s">
        <v>5</v>
      </c>
      <c r="D5" t="s">
        <v>10</v>
      </c>
      <c r="E5" t="s">
        <v>11</v>
      </c>
    </row>
    <row r="6" spans="1:12">
      <c r="A6" t="s">
        <v>8</v>
      </c>
      <c r="B6" t="s">
        <v>16</v>
      </c>
      <c r="C6" t="s">
        <v>5</v>
      </c>
      <c r="D6" t="s">
        <v>10</v>
      </c>
      <c r="E6" t="s">
        <v>11</v>
      </c>
      <c r="J6" s="7"/>
    </row>
    <row r="7" spans="1:12">
      <c r="A7" t="s">
        <v>8</v>
      </c>
      <c r="B7" t="s">
        <v>17</v>
      </c>
      <c r="C7" t="s">
        <v>5</v>
      </c>
      <c r="D7" t="s">
        <v>10</v>
      </c>
      <c r="E7" t="s">
        <v>11</v>
      </c>
    </row>
    <row r="8" spans="1:12">
      <c r="A8" t="s">
        <v>8</v>
      </c>
      <c r="B8" t="s">
        <v>18</v>
      </c>
      <c r="C8" t="s">
        <v>5</v>
      </c>
      <c r="D8" t="s">
        <v>10</v>
      </c>
      <c r="E8" t="s">
        <v>11</v>
      </c>
    </row>
    <row r="9" spans="1:12">
      <c r="A9" t="s">
        <v>8</v>
      </c>
      <c r="B9" t="s">
        <v>19</v>
      </c>
      <c r="C9" t="s">
        <v>5</v>
      </c>
      <c r="D9" t="s">
        <v>10</v>
      </c>
      <c r="E9" t="s">
        <v>11</v>
      </c>
    </row>
    <row r="10" spans="1:12">
      <c r="A10" t="s">
        <v>8</v>
      </c>
      <c r="B10" t="s">
        <v>20</v>
      </c>
      <c r="C10" t="s">
        <v>5</v>
      </c>
      <c r="D10" t="s">
        <v>10</v>
      </c>
      <c r="E10" t="s">
        <v>11</v>
      </c>
      <c r="H10" t="s">
        <v>21</v>
      </c>
    </row>
    <row r="11" spans="1:12">
      <c r="A11" t="s">
        <v>8</v>
      </c>
      <c r="B11" t="s">
        <v>22</v>
      </c>
      <c r="C11" t="s">
        <v>5</v>
      </c>
      <c r="D11" t="s">
        <v>10</v>
      </c>
      <c r="E11" t="s">
        <v>11</v>
      </c>
    </row>
    <row r="12" spans="1:12">
      <c r="A12" t="s">
        <v>8</v>
      </c>
      <c r="B12" t="s">
        <v>23</v>
      </c>
      <c r="C12" t="s">
        <v>5</v>
      </c>
      <c r="D12" t="s">
        <v>10</v>
      </c>
      <c r="E12" t="s">
        <v>11</v>
      </c>
    </row>
    <row r="13" spans="1:12">
      <c r="A13" t="s">
        <v>8</v>
      </c>
      <c r="B13" t="s">
        <v>24</v>
      </c>
      <c r="C13" t="s">
        <v>5</v>
      </c>
      <c r="D13" t="s">
        <v>10</v>
      </c>
      <c r="E13" t="s">
        <v>11</v>
      </c>
    </row>
    <row r="14" spans="1:12">
      <c r="A14" t="s">
        <v>8</v>
      </c>
      <c r="B14" t="s">
        <v>25</v>
      </c>
      <c r="C14" t="s">
        <v>5</v>
      </c>
      <c r="D14" t="s">
        <v>10</v>
      </c>
      <c r="E14" t="s">
        <v>11</v>
      </c>
    </row>
    <row r="15" spans="1:12">
      <c r="A15" t="s">
        <v>8</v>
      </c>
      <c r="B15" t="s">
        <v>26</v>
      </c>
      <c r="C15" t="s">
        <v>5</v>
      </c>
      <c r="D15" t="s">
        <v>10</v>
      </c>
      <c r="E15" t="s">
        <v>11</v>
      </c>
    </row>
    <row r="16" spans="1:12">
      <c r="A16" t="s">
        <v>8</v>
      </c>
      <c r="B16" t="s">
        <v>27</v>
      </c>
      <c r="C16" t="s">
        <v>6</v>
      </c>
      <c r="D16" t="s">
        <v>14</v>
      </c>
    </row>
    <row r="17" spans="1:14">
      <c r="A17" t="s">
        <v>8</v>
      </c>
      <c r="B17" t="s">
        <v>28</v>
      </c>
      <c r="C17" t="s">
        <v>6</v>
      </c>
      <c r="D17" t="s">
        <v>14</v>
      </c>
    </row>
    <row r="18" spans="1:14">
      <c r="A18" t="s">
        <v>8</v>
      </c>
      <c r="B18" t="s">
        <v>29</v>
      </c>
      <c r="C18" t="s">
        <v>5</v>
      </c>
      <c r="D18" t="s">
        <v>10</v>
      </c>
      <c r="E18" t="s">
        <v>11</v>
      </c>
    </row>
    <row r="19" spans="1:14">
      <c r="A19" t="s">
        <v>8</v>
      </c>
      <c r="B19" t="s">
        <v>30</v>
      </c>
      <c r="C19" t="s">
        <v>5</v>
      </c>
      <c r="D19" t="s">
        <v>31</v>
      </c>
      <c r="E19" t="s">
        <v>11</v>
      </c>
    </row>
    <row r="20" spans="1:14">
      <c r="A20" t="s">
        <v>8</v>
      </c>
      <c r="B20" t="s">
        <v>32</v>
      </c>
      <c r="C20" t="s">
        <v>7</v>
      </c>
      <c r="D20" t="s">
        <v>10</v>
      </c>
      <c r="E20" t="s">
        <v>11</v>
      </c>
    </row>
    <row r="21" spans="1:14">
      <c r="A21" t="s">
        <v>8</v>
      </c>
      <c r="B21" t="s">
        <v>33</v>
      </c>
      <c r="C21" t="s">
        <v>5</v>
      </c>
      <c r="D21" t="s">
        <v>10</v>
      </c>
      <c r="E21" t="s">
        <v>11</v>
      </c>
    </row>
    <row r="22" spans="1:14">
      <c r="A22" t="s">
        <v>8</v>
      </c>
      <c r="B22" t="s">
        <v>34</v>
      </c>
      <c r="C22" t="s">
        <v>6</v>
      </c>
      <c r="D22" t="s">
        <v>35</v>
      </c>
      <c r="E22" t="s">
        <v>11</v>
      </c>
    </row>
    <row r="23" spans="1:14">
      <c r="A23" t="s">
        <v>8</v>
      </c>
      <c r="B23" t="s">
        <v>36</v>
      </c>
      <c r="C23" t="s">
        <v>7</v>
      </c>
      <c r="D23" t="s">
        <v>35</v>
      </c>
      <c r="E23" t="s">
        <v>11</v>
      </c>
    </row>
    <row r="24" spans="1:14">
      <c r="A24" t="s">
        <v>8</v>
      </c>
      <c r="B24" t="s">
        <v>37</v>
      </c>
      <c r="C24" t="s">
        <v>7</v>
      </c>
      <c r="D24" t="s">
        <v>35</v>
      </c>
      <c r="E24" t="s">
        <v>11</v>
      </c>
    </row>
    <row r="25" spans="1:14">
      <c r="A25" t="s">
        <v>8</v>
      </c>
      <c r="B25" t="s">
        <v>38</v>
      </c>
      <c r="C25" t="s">
        <v>7</v>
      </c>
      <c r="D25" t="s">
        <v>35</v>
      </c>
      <c r="E25" t="s">
        <v>11</v>
      </c>
    </row>
    <row r="26" spans="1:14">
      <c r="A26" t="s">
        <v>8</v>
      </c>
      <c r="B26" t="s">
        <v>39</v>
      </c>
      <c r="C26" t="s">
        <v>6</v>
      </c>
      <c r="D26" t="s">
        <v>10</v>
      </c>
      <c r="E26" t="s">
        <v>11</v>
      </c>
    </row>
    <row r="27" spans="1:14">
      <c r="A27" t="s">
        <v>8</v>
      </c>
      <c r="B27" t="s">
        <v>40</v>
      </c>
      <c r="C27" t="s">
        <v>6</v>
      </c>
      <c r="D27" t="s">
        <v>14</v>
      </c>
    </row>
    <row r="28" spans="1:14">
      <c r="A28" t="s">
        <v>8</v>
      </c>
      <c r="B28" t="s">
        <v>41</v>
      </c>
      <c r="C28" t="s">
        <v>5</v>
      </c>
      <c r="D28" t="s">
        <v>42</v>
      </c>
      <c r="E28" t="s">
        <v>11</v>
      </c>
    </row>
    <row r="29" spans="1:14">
      <c r="A29" t="s">
        <v>8</v>
      </c>
      <c r="B29" t="s">
        <v>43</v>
      </c>
      <c r="C29" t="s">
        <v>7</v>
      </c>
      <c r="D29" t="s">
        <v>44</v>
      </c>
    </row>
    <row r="30" spans="1:14" s="2" customFormat="1">
      <c r="A30" t="s">
        <v>45</v>
      </c>
      <c r="B30" t="s">
        <v>46</v>
      </c>
      <c r="C30" t="s">
        <v>5</v>
      </c>
      <c r="D30" t="s">
        <v>14</v>
      </c>
      <c r="E30"/>
      <c r="F30"/>
      <c r="G30"/>
      <c r="H30"/>
      <c r="I30"/>
      <c r="J30"/>
      <c r="K30"/>
      <c r="L30"/>
      <c r="M30"/>
      <c r="N30"/>
    </row>
    <row r="31" spans="1:14">
      <c r="A31" t="s">
        <v>45</v>
      </c>
      <c r="B31" t="s">
        <v>47</v>
      </c>
      <c r="C31" t="s">
        <v>5</v>
      </c>
      <c r="D31" t="s">
        <v>14</v>
      </c>
      <c r="E31" t="s">
        <v>11</v>
      </c>
    </row>
    <row r="32" spans="1:14">
      <c r="A32" t="s">
        <v>45</v>
      </c>
      <c r="B32" t="s">
        <v>48</v>
      </c>
      <c r="C32" t="s">
        <v>5</v>
      </c>
      <c r="D32" t="s">
        <v>14</v>
      </c>
      <c r="E32" t="s">
        <v>11</v>
      </c>
    </row>
    <row r="33" spans="1:5">
      <c r="A33" t="s">
        <v>45</v>
      </c>
      <c r="B33" t="s">
        <v>49</v>
      </c>
      <c r="C33" t="s">
        <v>5</v>
      </c>
      <c r="D33" t="s">
        <v>14</v>
      </c>
      <c r="E33" t="s">
        <v>11</v>
      </c>
    </row>
    <row r="34" spans="1:5">
      <c r="A34" t="s">
        <v>45</v>
      </c>
      <c r="B34" t="s">
        <v>50</v>
      </c>
      <c r="C34" t="s">
        <v>5</v>
      </c>
      <c r="D34" t="s">
        <v>14</v>
      </c>
      <c r="E34" t="s">
        <v>11</v>
      </c>
    </row>
    <row r="35" spans="1:5">
      <c r="A35" t="s">
        <v>45</v>
      </c>
      <c r="B35" t="s">
        <v>51</v>
      </c>
      <c r="C35" t="s">
        <v>5</v>
      </c>
      <c r="D35" t="s">
        <v>14</v>
      </c>
    </row>
    <row r="36" spans="1:5">
      <c r="A36" t="s">
        <v>45</v>
      </c>
      <c r="B36" t="s">
        <v>52</v>
      </c>
      <c r="C36" t="s">
        <v>5</v>
      </c>
      <c r="D36" t="s">
        <v>14</v>
      </c>
      <c r="E36" t="s">
        <v>11</v>
      </c>
    </row>
    <row r="37" spans="1:5">
      <c r="A37" t="s">
        <v>45</v>
      </c>
      <c r="B37" t="s">
        <v>53</v>
      </c>
      <c r="C37" t="s">
        <v>7</v>
      </c>
      <c r="D37" t="s">
        <v>14</v>
      </c>
      <c r="E37" t="s">
        <v>11</v>
      </c>
    </row>
    <row r="38" spans="1:5">
      <c r="A38" t="s">
        <v>45</v>
      </c>
      <c r="B38" t="s">
        <v>54</v>
      </c>
      <c r="C38" t="s">
        <v>6</v>
      </c>
      <c r="D38" t="s">
        <v>14</v>
      </c>
    </row>
    <row r="39" spans="1:5">
      <c r="A39" t="s">
        <v>45</v>
      </c>
      <c r="B39" t="s">
        <v>55</v>
      </c>
      <c r="C39" t="s">
        <v>5</v>
      </c>
      <c r="D39" t="s">
        <v>35</v>
      </c>
      <c r="E39" t="s">
        <v>11</v>
      </c>
    </row>
    <row r="40" spans="1:5">
      <c r="A40" t="s">
        <v>45</v>
      </c>
      <c r="B40" t="s">
        <v>56</v>
      </c>
      <c r="C40" t="s">
        <v>5</v>
      </c>
      <c r="D40" t="s">
        <v>35</v>
      </c>
      <c r="E40" t="s">
        <v>11</v>
      </c>
    </row>
    <row r="41" spans="1:5">
      <c r="A41" t="s">
        <v>45</v>
      </c>
      <c r="B41" t="s">
        <v>57</v>
      </c>
      <c r="C41" t="s">
        <v>6</v>
      </c>
      <c r="D41" t="s">
        <v>44</v>
      </c>
    </row>
    <row r="42" spans="1:5">
      <c r="A42" t="s">
        <v>45</v>
      </c>
      <c r="B42" t="s">
        <v>58</v>
      </c>
      <c r="C42" t="s">
        <v>7</v>
      </c>
      <c r="D42" t="s">
        <v>44</v>
      </c>
    </row>
    <row r="43" spans="1:5">
      <c r="A43" t="s">
        <v>45</v>
      </c>
      <c r="B43" t="s">
        <v>59</v>
      </c>
      <c r="C43" t="s">
        <v>5</v>
      </c>
      <c r="D43" t="s">
        <v>44</v>
      </c>
    </row>
    <row r="44" spans="1:5">
      <c r="A44" t="s">
        <v>45</v>
      </c>
      <c r="B44" t="s">
        <v>60</v>
      </c>
      <c r="C44" t="s">
        <v>6</v>
      </c>
      <c r="D44" t="s">
        <v>14</v>
      </c>
      <c r="E44" t="s">
        <v>11</v>
      </c>
    </row>
    <row r="45" spans="1:5">
      <c r="A45" t="s">
        <v>45</v>
      </c>
      <c r="B45" t="s">
        <v>61</v>
      </c>
      <c r="C45" t="s">
        <v>6</v>
      </c>
      <c r="D45" t="s">
        <v>14</v>
      </c>
      <c r="E45" t="s">
        <v>11</v>
      </c>
    </row>
    <row r="46" spans="1:5">
      <c r="A46" t="s">
        <v>45</v>
      </c>
      <c r="B46" t="s">
        <v>62</v>
      </c>
      <c r="C46" t="s">
        <v>5</v>
      </c>
      <c r="D46" t="s">
        <v>14</v>
      </c>
    </row>
    <row r="47" spans="1:5">
      <c r="A47" t="s">
        <v>45</v>
      </c>
      <c r="B47" t="s">
        <v>63</v>
      </c>
      <c r="C47" t="s">
        <v>6</v>
      </c>
      <c r="D47" t="s">
        <v>14</v>
      </c>
    </row>
    <row r="48" spans="1:5">
      <c r="A48" t="s">
        <v>45</v>
      </c>
      <c r="B48" t="s">
        <v>64</v>
      </c>
      <c r="C48" t="s">
        <v>5</v>
      </c>
      <c r="D48" t="s">
        <v>14</v>
      </c>
    </row>
    <row r="49" spans="1:7">
      <c r="A49" t="s">
        <v>45</v>
      </c>
      <c r="B49" t="s">
        <v>65</v>
      </c>
      <c r="C49" t="s">
        <v>6</v>
      </c>
      <c r="D49" t="s">
        <v>14</v>
      </c>
    </row>
    <row r="50" spans="1:7">
      <c r="A50" t="s">
        <v>45</v>
      </c>
      <c r="B50" t="s">
        <v>66</v>
      </c>
      <c r="C50" t="s">
        <v>6</v>
      </c>
      <c r="D50" t="s">
        <v>14</v>
      </c>
    </row>
    <row r="51" spans="1:7">
      <c r="A51" t="s">
        <v>45</v>
      </c>
      <c r="B51" t="s">
        <v>67</v>
      </c>
      <c r="C51" t="s">
        <v>6</v>
      </c>
      <c r="D51" t="s">
        <v>14</v>
      </c>
      <c r="E51" t="s">
        <v>11</v>
      </c>
    </row>
    <row r="52" spans="1:7">
      <c r="A52" t="s">
        <v>45</v>
      </c>
      <c r="B52" t="s">
        <v>68</v>
      </c>
      <c r="C52" t="s">
        <v>7</v>
      </c>
      <c r="D52" t="s">
        <v>14</v>
      </c>
    </row>
    <row r="53" spans="1:7">
      <c r="A53" t="s">
        <v>69</v>
      </c>
      <c r="B53" t="s">
        <v>70</v>
      </c>
      <c r="C53" t="s">
        <v>6</v>
      </c>
    </row>
    <row r="54" spans="1:7">
      <c r="A54" t="s">
        <v>69</v>
      </c>
      <c r="B54" t="s">
        <v>71</v>
      </c>
      <c r="C54" t="s">
        <v>5</v>
      </c>
      <c r="D54" t="s">
        <v>44</v>
      </c>
      <c r="E54" t="s">
        <v>11</v>
      </c>
      <c r="F54" s="1"/>
      <c r="G54" s="1"/>
    </row>
    <row r="55" spans="1:7">
      <c r="A55" t="s">
        <v>69</v>
      </c>
      <c r="B55" t="s">
        <v>72</v>
      </c>
      <c r="C55" t="s">
        <v>7</v>
      </c>
      <c r="E55" t="s">
        <v>11</v>
      </c>
      <c r="F55" s="1"/>
      <c r="G55" s="1"/>
    </row>
    <row r="56" spans="1:7">
      <c r="A56" t="s">
        <v>69</v>
      </c>
      <c r="B56" t="s">
        <v>73</v>
      </c>
      <c r="C56" t="s">
        <v>7</v>
      </c>
      <c r="D56" t="s">
        <v>44</v>
      </c>
      <c r="F56" s="1"/>
      <c r="G56" s="1"/>
    </row>
    <row r="57" spans="1:7">
      <c r="A57" t="s">
        <v>69</v>
      </c>
      <c r="B57" t="s">
        <v>74</v>
      </c>
      <c r="C57" t="s">
        <v>5</v>
      </c>
      <c r="D57" t="s">
        <v>75</v>
      </c>
      <c r="F57" s="1"/>
      <c r="G57" s="1"/>
    </row>
    <row r="58" spans="1:7">
      <c r="A58" t="s">
        <v>69</v>
      </c>
      <c r="B58" t="s">
        <v>76</v>
      </c>
      <c r="C58" t="s">
        <v>5</v>
      </c>
      <c r="D58" t="s">
        <v>14</v>
      </c>
      <c r="E58" t="s">
        <v>11</v>
      </c>
      <c r="F58" s="1"/>
      <c r="G58" s="1"/>
    </row>
    <row r="59" spans="1:7">
      <c r="A59" t="s">
        <v>69</v>
      </c>
      <c r="B59" t="s">
        <v>77</v>
      </c>
      <c r="C59" t="s">
        <v>5</v>
      </c>
      <c r="D59" t="s">
        <v>14</v>
      </c>
      <c r="E59" t="s">
        <v>11</v>
      </c>
      <c r="F59" s="1"/>
      <c r="G59" s="1"/>
    </row>
    <row r="60" spans="1:7">
      <c r="A60" t="s">
        <v>69</v>
      </c>
      <c r="B60" t="s">
        <v>78</v>
      </c>
      <c r="C60" t="s">
        <v>6</v>
      </c>
      <c r="D60" t="s">
        <v>14</v>
      </c>
      <c r="E60" t="s">
        <v>11</v>
      </c>
      <c r="F60" s="1"/>
      <c r="G60" s="1"/>
    </row>
    <row r="61" spans="1:7">
      <c r="A61" t="s">
        <v>69</v>
      </c>
      <c r="B61" t="s">
        <v>79</v>
      </c>
      <c r="C61" t="s">
        <v>6</v>
      </c>
      <c r="D61" t="s">
        <v>44</v>
      </c>
      <c r="E61" t="s">
        <v>11</v>
      </c>
      <c r="F61" s="1"/>
      <c r="G61" s="1"/>
    </row>
    <row r="62" spans="1:7">
      <c r="A62" t="s">
        <v>69</v>
      </c>
      <c r="B62" t="s">
        <v>80</v>
      </c>
      <c r="C62" t="s">
        <v>6</v>
      </c>
      <c r="D62" t="s">
        <v>14</v>
      </c>
      <c r="F62" s="1"/>
      <c r="G62" s="1"/>
    </row>
    <row r="63" spans="1:7">
      <c r="A63" t="s">
        <v>69</v>
      </c>
      <c r="B63" t="s">
        <v>81</v>
      </c>
      <c r="C63" t="s">
        <v>5</v>
      </c>
      <c r="D63" t="s">
        <v>14</v>
      </c>
      <c r="E63" t="s">
        <v>11</v>
      </c>
      <c r="F63" s="1"/>
      <c r="G63" s="1"/>
    </row>
    <row r="64" spans="1:7">
      <c r="A64" t="s">
        <v>69</v>
      </c>
      <c r="B64" t="s">
        <v>82</v>
      </c>
      <c r="C64" t="s">
        <v>5</v>
      </c>
      <c r="D64" t="s">
        <v>14</v>
      </c>
      <c r="E64" t="s">
        <v>11</v>
      </c>
      <c r="F64" s="1"/>
      <c r="G64" s="1"/>
    </row>
    <row r="65" spans="1:7">
      <c r="A65" t="s">
        <v>69</v>
      </c>
      <c r="B65" t="s">
        <v>83</v>
      </c>
      <c r="C65" t="s">
        <v>6</v>
      </c>
      <c r="D65" t="s">
        <v>14</v>
      </c>
      <c r="F65" s="1"/>
      <c r="G65" s="1"/>
    </row>
    <row r="66" spans="1:7">
      <c r="A66" t="s">
        <v>69</v>
      </c>
      <c r="B66" t="s">
        <v>84</v>
      </c>
      <c r="C66" t="s">
        <v>6</v>
      </c>
      <c r="D66" t="s">
        <v>14</v>
      </c>
      <c r="F66" s="1"/>
      <c r="G66" s="1"/>
    </row>
    <row r="67" spans="1:7">
      <c r="A67" t="s">
        <v>69</v>
      </c>
      <c r="B67" t="s">
        <v>85</v>
      </c>
      <c r="C67" t="s">
        <v>6</v>
      </c>
      <c r="D67" t="s">
        <v>14</v>
      </c>
      <c r="E67" t="s">
        <v>11</v>
      </c>
    </row>
    <row r="68" spans="1:7">
      <c r="A68" t="s">
        <v>69</v>
      </c>
      <c r="B68" t="s">
        <v>86</v>
      </c>
      <c r="C68" t="s">
        <v>5</v>
      </c>
    </row>
    <row r="69" spans="1:7">
      <c r="A69" t="s">
        <v>69</v>
      </c>
      <c r="B69" t="s">
        <v>87</v>
      </c>
      <c r="C69" t="s">
        <v>6</v>
      </c>
      <c r="D69" t="s">
        <v>14</v>
      </c>
      <c r="E69" t="s">
        <v>11</v>
      </c>
    </row>
    <row r="70" spans="1:7">
      <c r="A70" t="s">
        <v>69</v>
      </c>
      <c r="B70" t="s">
        <v>88</v>
      </c>
      <c r="C70" t="s">
        <v>6</v>
      </c>
    </row>
    <row r="71" spans="1:7">
      <c r="A71" t="s">
        <v>69</v>
      </c>
      <c r="B71" t="s">
        <v>89</v>
      </c>
      <c r="C71" t="s">
        <v>6</v>
      </c>
    </row>
    <row r="72" spans="1:7">
      <c r="A72" t="s">
        <v>69</v>
      </c>
      <c r="B72" t="s">
        <v>90</v>
      </c>
      <c r="C72" t="s">
        <v>6</v>
      </c>
    </row>
    <row r="73" spans="1:7">
      <c r="A73" t="s">
        <v>91</v>
      </c>
      <c r="B73" t="s">
        <v>92</v>
      </c>
      <c r="C73" t="s">
        <v>7</v>
      </c>
      <c r="D73" t="s">
        <v>93</v>
      </c>
    </row>
    <row r="74" spans="1:7">
      <c r="A74" t="s">
        <v>91</v>
      </c>
      <c r="B74" t="s">
        <v>94</v>
      </c>
      <c r="C74" t="s">
        <v>5</v>
      </c>
      <c r="D74" t="s">
        <v>93</v>
      </c>
    </row>
    <row r="75" spans="1:7">
      <c r="A75" t="s">
        <v>91</v>
      </c>
      <c r="B75" t="s">
        <v>95</v>
      </c>
      <c r="C75" t="s">
        <v>5</v>
      </c>
      <c r="D75" t="s">
        <v>93</v>
      </c>
    </row>
    <row r="76" spans="1:7">
      <c r="A76" t="s">
        <v>91</v>
      </c>
      <c r="B76" t="s">
        <v>96</v>
      </c>
      <c r="C76" t="s">
        <v>93</v>
      </c>
      <c r="D76" t="s">
        <v>93</v>
      </c>
    </row>
    <row r="77" spans="1:7">
      <c r="A77" t="s">
        <v>91</v>
      </c>
      <c r="B77" t="s">
        <v>97</v>
      </c>
      <c r="C77" t="s">
        <v>93</v>
      </c>
      <c r="D77" t="s">
        <v>93</v>
      </c>
    </row>
    <row r="78" spans="1:7">
      <c r="A78" t="s">
        <v>91</v>
      </c>
      <c r="B78" t="s">
        <v>98</v>
      </c>
      <c r="C78" t="s">
        <v>93</v>
      </c>
      <c r="D78" t="s">
        <v>93</v>
      </c>
    </row>
  </sheetData>
  <autoFilter ref="A1:E78" xr:uid="{CD7A2BC6-2086-40F3-82D4-B456DAB7439A}"/>
  <pageMargins left="0.7" right="0.7" top="0.75" bottom="0.75" header="0.3" footer="0.3"/>
  <headerFooter>
    <oddFooter>&amp;C_x000D_&amp;1#&amp;"Calibri"&amp;12&amp;K000000 Nasdaq Highly Confidential: Secure Handling and Restricted Distribution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15336-7BAE-0C4D-91A7-3ACF4002AE93}">
  <dimension ref="A1:H78"/>
  <sheetViews>
    <sheetView topLeftCell="E13" zoomScale="133" workbookViewId="0">
      <selection activeCell="E13" sqref="E13"/>
    </sheetView>
  </sheetViews>
  <sheetFormatPr defaultColWidth="11.42578125" defaultRowHeight="15"/>
  <cols>
    <col min="1" max="1" width="18" bestFit="1" customWidth="1"/>
    <col min="2" max="2" width="34.140625" customWidth="1"/>
    <col min="3" max="3" width="20.7109375" bestFit="1" customWidth="1"/>
    <col min="4" max="4" width="21.140625" bestFit="1" customWidth="1"/>
    <col min="5" max="5" width="37.7109375" style="7" customWidth="1"/>
    <col min="6" max="6" width="16.28515625" customWidth="1"/>
    <col min="7" max="7" width="91.7109375" customWidth="1"/>
    <col min="8" max="8" width="74.42578125" customWidth="1"/>
  </cols>
  <sheetData>
    <row r="1" spans="1:8" ht="15.95" thickBot="1">
      <c r="A1" s="4" t="s">
        <v>0</v>
      </c>
      <c r="B1" s="5" t="s">
        <v>1</v>
      </c>
      <c r="C1" s="5" t="s">
        <v>2</v>
      </c>
      <c r="D1" s="5" t="s">
        <v>3</v>
      </c>
      <c r="E1" s="5" t="s">
        <v>99</v>
      </c>
      <c r="F1" s="5" t="s">
        <v>100</v>
      </c>
      <c r="G1" s="5" t="s">
        <v>101</v>
      </c>
    </row>
    <row r="2" spans="1:8" ht="80.099999999999994">
      <c r="A2" t="s">
        <v>8</v>
      </c>
      <c r="B2" s="9" t="s">
        <v>9</v>
      </c>
      <c r="C2" t="s">
        <v>102</v>
      </c>
      <c r="D2" t="s">
        <v>10</v>
      </c>
      <c r="E2" s="14" t="s">
        <v>103</v>
      </c>
    </row>
    <row r="3" spans="1:8" ht="80.099999999999994">
      <c r="A3" t="s">
        <v>8</v>
      </c>
      <c r="B3" s="9" t="s">
        <v>12</v>
      </c>
      <c r="C3" t="s">
        <v>102</v>
      </c>
      <c r="D3" t="s">
        <v>10</v>
      </c>
      <c r="E3" s="14" t="s">
        <v>104</v>
      </c>
    </row>
    <row r="4" spans="1:8" ht="80.099999999999994">
      <c r="A4" t="s">
        <v>8</v>
      </c>
      <c r="B4" s="9" t="s">
        <v>16</v>
      </c>
      <c r="C4" t="s">
        <v>102</v>
      </c>
      <c r="D4" t="s">
        <v>10</v>
      </c>
      <c r="E4" s="14" t="s">
        <v>105</v>
      </c>
    </row>
    <row r="5" spans="1:8" ht="80.099999999999994">
      <c r="A5" t="s">
        <v>8</v>
      </c>
      <c r="B5" s="9" t="s">
        <v>18</v>
      </c>
      <c r="C5" t="s">
        <v>102</v>
      </c>
      <c r="D5" t="s">
        <v>10</v>
      </c>
      <c r="E5" s="14" t="s">
        <v>106</v>
      </c>
      <c r="F5" t="s">
        <v>107</v>
      </c>
    </row>
    <row r="6" spans="1:8" ht="80.099999999999994">
      <c r="A6" t="s">
        <v>8</v>
      </c>
      <c r="B6" s="9" t="s">
        <v>20</v>
      </c>
      <c r="C6" t="s">
        <v>102</v>
      </c>
      <c r="D6" t="s">
        <v>10</v>
      </c>
      <c r="E6" s="14" t="s">
        <v>108</v>
      </c>
      <c r="F6" t="s">
        <v>107</v>
      </c>
    </row>
    <row r="7" spans="1:8" ht="80.099999999999994">
      <c r="A7" t="s">
        <v>8</v>
      </c>
      <c r="B7" s="9" t="s">
        <v>22</v>
      </c>
      <c r="C7" t="s">
        <v>102</v>
      </c>
      <c r="D7" t="s">
        <v>10</v>
      </c>
      <c r="E7" s="14" t="s">
        <v>109</v>
      </c>
      <c r="F7" s="16" t="s">
        <v>110</v>
      </c>
    </row>
    <row r="8" spans="1:8" ht="96">
      <c r="A8" t="s">
        <v>8</v>
      </c>
      <c r="B8" s="9" t="s">
        <v>23</v>
      </c>
      <c r="C8" t="s">
        <v>102</v>
      </c>
      <c r="D8" t="s">
        <v>10</v>
      </c>
      <c r="E8" s="14" t="s">
        <v>111</v>
      </c>
      <c r="F8" t="s">
        <v>112</v>
      </c>
    </row>
    <row r="9" spans="1:8" ht="118.5" customHeight="1">
      <c r="A9" t="s">
        <v>8</v>
      </c>
      <c r="B9" s="9" t="s">
        <v>113</v>
      </c>
      <c r="C9" t="s">
        <v>102</v>
      </c>
      <c r="D9" t="s">
        <v>10</v>
      </c>
      <c r="E9" s="7" t="s">
        <v>114</v>
      </c>
    </row>
    <row r="10" spans="1:8" ht="96">
      <c r="A10" t="s">
        <v>8</v>
      </c>
      <c r="B10" s="9" t="s">
        <v>115</v>
      </c>
      <c r="C10" t="s">
        <v>102</v>
      </c>
      <c r="D10" t="s">
        <v>10</v>
      </c>
      <c r="E10" s="7" t="s">
        <v>116</v>
      </c>
      <c r="F10" s="16" t="s">
        <v>117</v>
      </c>
      <c r="G10" t="s">
        <v>21</v>
      </c>
    </row>
    <row r="11" spans="1:8" ht="96">
      <c r="A11" t="s">
        <v>8</v>
      </c>
      <c r="B11" s="9" t="s">
        <v>118</v>
      </c>
      <c r="C11" t="s">
        <v>102</v>
      </c>
      <c r="D11" t="s">
        <v>10</v>
      </c>
      <c r="E11" s="7" t="s">
        <v>119</v>
      </c>
    </row>
    <row r="12" spans="1:8" ht="159.94999999999999">
      <c r="A12" t="s">
        <v>8</v>
      </c>
      <c r="B12" s="9" t="s">
        <v>29</v>
      </c>
      <c r="C12" t="s">
        <v>120</v>
      </c>
      <c r="D12" t="s">
        <v>10</v>
      </c>
      <c r="E12" s="7" t="s">
        <v>121</v>
      </c>
      <c r="F12" s="7" t="s">
        <v>122</v>
      </c>
      <c r="G12" t="s">
        <v>123</v>
      </c>
      <c r="H12" s="15" t="s">
        <v>124</v>
      </c>
    </row>
    <row r="13" spans="1:8" ht="159.94999999999999">
      <c r="A13" t="s">
        <v>8</v>
      </c>
      <c r="B13" s="9" t="s">
        <v>30</v>
      </c>
      <c r="D13" t="s">
        <v>31</v>
      </c>
      <c r="E13" s="7" t="s">
        <v>125</v>
      </c>
      <c r="F13" s="7" t="s">
        <v>126</v>
      </c>
    </row>
    <row r="14" spans="1:8" ht="176.1">
      <c r="A14" t="s">
        <v>8</v>
      </c>
      <c r="B14" s="9" t="s">
        <v>32</v>
      </c>
      <c r="C14" t="s">
        <v>7</v>
      </c>
      <c r="D14" t="s">
        <v>10</v>
      </c>
      <c r="E14" s="7" t="s">
        <v>127</v>
      </c>
      <c r="F14" s="7" t="s">
        <v>128</v>
      </c>
    </row>
    <row r="15" spans="1:8" ht="63.95">
      <c r="A15" t="s">
        <v>8</v>
      </c>
      <c r="B15" s="9" t="s">
        <v>34</v>
      </c>
      <c r="C15" t="s">
        <v>7</v>
      </c>
      <c r="D15" t="s">
        <v>35</v>
      </c>
      <c r="E15" s="7" t="s">
        <v>129</v>
      </c>
      <c r="F15" s="7"/>
    </row>
    <row r="16" spans="1:8" ht="80.099999999999994">
      <c r="A16" t="s">
        <v>8</v>
      </c>
      <c r="B16" s="9" t="s">
        <v>36</v>
      </c>
      <c r="C16" t="s">
        <v>7</v>
      </c>
      <c r="D16" t="s">
        <v>35</v>
      </c>
      <c r="E16" s="14" t="s">
        <v>130</v>
      </c>
    </row>
    <row r="17" spans="1:8" ht="80.099999999999994">
      <c r="A17" t="s">
        <v>8</v>
      </c>
      <c r="B17" s="9" t="s">
        <v>37</v>
      </c>
      <c r="C17" t="s">
        <v>7</v>
      </c>
      <c r="D17" t="s">
        <v>35</v>
      </c>
      <c r="E17" s="14" t="s">
        <v>131</v>
      </c>
    </row>
    <row r="18" spans="1:8">
      <c r="A18" t="s">
        <v>8</v>
      </c>
      <c r="B18" s="9" t="s">
        <v>38</v>
      </c>
      <c r="C18" t="s">
        <v>7</v>
      </c>
      <c r="D18" t="s">
        <v>35</v>
      </c>
    </row>
    <row r="19" spans="1:8">
      <c r="A19" t="s">
        <v>8</v>
      </c>
      <c r="B19" s="9" t="s">
        <v>39</v>
      </c>
      <c r="C19" t="s">
        <v>7</v>
      </c>
      <c r="D19" t="s">
        <v>10</v>
      </c>
    </row>
    <row r="20" spans="1:8">
      <c r="A20" t="s">
        <v>8</v>
      </c>
      <c r="B20" s="9" t="s">
        <v>41</v>
      </c>
      <c r="D20" t="s">
        <v>42</v>
      </c>
    </row>
    <row r="21" spans="1:8">
      <c r="A21" t="s">
        <v>8</v>
      </c>
      <c r="B21" s="9" t="s">
        <v>43</v>
      </c>
      <c r="D21" t="s">
        <v>44</v>
      </c>
    </row>
    <row r="22" spans="1:8" ht="80.099999999999994">
      <c r="A22" t="s">
        <v>45</v>
      </c>
      <c r="B22" s="9" t="s">
        <v>47</v>
      </c>
      <c r="C22" t="s">
        <v>102</v>
      </c>
      <c r="D22" t="s">
        <v>14</v>
      </c>
      <c r="E22" s="14" t="s">
        <v>132</v>
      </c>
    </row>
    <row r="23" spans="1:8" ht="80.099999999999994">
      <c r="A23" t="s">
        <v>45</v>
      </c>
      <c r="B23" s="9" t="s">
        <v>48</v>
      </c>
      <c r="C23" t="s">
        <v>102</v>
      </c>
      <c r="D23" t="s">
        <v>14</v>
      </c>
      <c r="E23" s="14" t="s">
        <v>133</v>
      </c>
    </row>
    <row r="24" spans="1:8" ht="96">
      <c r="A24" t="s">
        <v>45</v>
      </c>
      <c r="B24" s="9" t="s">
        <v>49</v>
      </c>
      <c r="C24" t="s">
        <v>102</v>
      </c>
      <c r="D24" t="s">
        <v>14</v>
      </c>
      <c r="E24" s="14" t="s">
        <v>134</v>
      </c>
    </row>
    <row r="25" spans="1:8">
      <c r="A25" t="s">
        <v>45</v>
      </c>
      <c r="B25" s="9" t="s">
        <v>50</v>
      </c>
      <c r="C25" t="s">
        <v>102</v>
      </c>
      <c r="D25" t="s">
        <v>14</v>
      </c>
      <c r="G25" t="s">
        <v>135</v>
      </c>
      <c r="H25" t="s">
        <v>136</v>
      </c>
    </row>
    <row r="26" spans="1:8" ht="15.95">
      <c r="A26" t="s">
        <v>45</v>
      </c>
      <c r="B26" s="9" t="s">
        <v>52</v>
      </c>
      <c r="C26" t="s">
        <v>102</v>
      </c>
      <c r="D26" t="s">
        <v>14</v>
      </c>
      <c r="E26" s="17" t="s">
        <v>23</v>
      </c>
      <c r="F26" t="s">
        <v>137</v>
      </c>
      <c r="G26" t="s">
        <v>138</v>
      </c>
      <c r="H26" t="s">
        <v>139</v>
      </c>
    </row>
    <row r="27" spans="1:8" ht="15.95">
      <c r="A27" t="s">
        <v>45</v>
      </c>
      <c r="B27" s="9" t="s">
        <v>55</v>
      </c>
      <c r="C27" t="s">
        <v>102</v>
      </c>
      <c r="D27" t="s">
        <v>14</v>
      </c>
      <c r="E27" s="17" t="s">
        <v>140</v>
      </c>
      <c r="F27" t="s">
        <v>137</v>
      </c>
      <c r="G27" t="s">
        <v>141</v>
      </c>
      <c r="H27" t="s">
        <v>142</v>
      </c>
    </row>
    <row r="28" spans="1:8" ht="15.95">
      <c r="A28" t="s">
        <v>45</v>
      </c>
      <c r="B28" s="9" t="s">
        <v>56</v>
      </c>
      <c r="C28" t="s">
        <v>102</v>
      </c>
      <c r="D28" t="s">
        <v>14</v>
      </c>
      <c r="E28" s="17" t="s">
        <v>143</v>
      </c>
      <c r="F28" t="s">
        <v>137</v>
      </c>
      <c r="G28" t="s">
        <v>144</v>
      </c>
      <c r="H28" t="s">
        <v>21</v>
      </c>
    </row>
    <row r="29" spans="1:8" ht="15.95">
      <c r="A29" t="s">
        <v>45</v>
      </c>
      <c r="B29" s="9" t="s">
        <v>57</v>
      </c>
      <c r="C29" t="s">
        <v>102</v>
      </c>
      <c r="D29" t="s">
        <v>44</v>
      </c>
      <c r="E29" s="17" t="s">
        <v>145</v>
      </c>
      <c r="F29" t="s">
        <v>146</v>
      </c>
      <c r="G29" t="s">
        <v>147</v>
      </c>
    </row>
    <row r="30" spans="1:8" ht="15.95">
      <c r="A30" t="s">
        <v>45</v>
      </c>
      <c r="B30" s="9" t="s">
        <v>58</v>
      </c>
      <c r="C30" t="s">
        <v>102</v>
      </c>
      <c r="D30" t="s">
        <v>44</v>
      </c>
      <c r="E30" s="17" t="s">
        <v>148</v>
      </c>
      <c r="F30" t="s">
        <v>146</v>
      </c>
    </row>
    <row r="31" spans="1:8" ht="15.95">
      <c r="A31" t="s">
        <v>45</v>
      </c>
      <c r="B31" s="9" t="s">
        <v>60</v>
      </c>
      <c r="C31" t="s">
        <v>102</v>
      </c>
      <c r="D31" t="s">
        <v>14</v>
      </c>
      <c r="E31" s="17" t="s">
        <v>149</v>
      </c>
      <c r="F31" t="s">
        <v>146</v>
      </c>
      <c r="G31" t="s">
        <v>150</v>
      </c>
    </row>
    <row r="32" spans="1:8" ht="15.95">
      <c r="A32" t="s">
        <v>45</v>
      </c>
      <c r="B32" s="9" t="s">
        <v>61</v>
      </c>
      <c r="C32" t="s">
        <v>102</v>
      </c>
      <c r="D32" t="s">
        <v>14</v>
      </c>
      <c r="E32" s="17" t="s">
        <v>50</v>
      </c>
      <c r="F32" t="s">
        <v>146</v>
      </c>
      <c r="G32" t="s">
        <v>151</v>
      </c>
    </row>
    <row r="33" spans="1:8" ht="32.1">
      <c r="A33" t="s">
        <v>45</v>
      </c>
      <c r="B33" s="9" t="s">
        <v>63</v>
      </c>
      <c r="C33" t="s">
        <v>102</v>
      </c>
      <c r="D33" t="s">
        <v>14</v>
      </c>
      <c r="E33" s="17" t="s">
        <v>152</v>
      </c>
      <c r="F33" t="s">
        <v>146</v>
      </c>
      <c r="G33" t="s">
        <v>153</v>
      </c>
      <c r="H33" s="25"/>
    </row>
    <row r="34" spans="1:8" ht="15.95">
      <c r="A34" t="s">
        <v>45</v>
      </c>
      <c r="B34" s="9" t="s">
        <v>66</v>
      </c>
      <c r="C34" t="s">
        <v>102</v>
      </c>
      <c r="D34" t="s">
        <v>14</v>
      </c>
      <c r="E34" s="17" t="s">
        <v>154</v>
      </c>
      <c r="F34" t="s">
        <v>146</v>
      </c>
      <c r="G34" t="s">
        <v>155</v>
      </c>
    </row>
    <row r="35" spans="1:8" ht="15.95">
      <c r="A35" t="s">
        <v>45</v>
      </c>
      <c r="B35" s="9" t="s">
        <v>67</v>
      </c>
      <c r="C35" t="s">
        <v>102</v>
      </c>
      <c r="D35" t="s">
        <v>14</v>
      </c>
      <c r="E35" s="17" t="s">
        <v>85</v>
      </c>
      <c r="F35" t="s">
        <v>156</v>
      </c>
      <c r="G35" t="s">
        <v>157</v>
      </c>
    </row>
    <row r="36" spans="1:8" ht="15.95">
      <c r="A36" t="s">
        <v>69</v>
      </c>
      <c r="B36" s="9" t="s">
        <v>76</v>
      </c>
      <c r="C36" t="s">
        <v>102</v>
      </c>
      <c r="D36" t="s">
        <v>14</v>
      </c>
      <c r="E36" s="17" t="s">
        <v>79</v>
      </c>
      <c r="F36" t="s">
        <v>156</v>
      </c>
      <c r="G36" t="s">
        <v>158</v>
      </c>
    </row>
    <row r="37" spans="1:8" ht="15.95">
      <c r="A37" t="s">
        <v>69</v>
      </c>
      <c r="B37" s="9" t="s">
        <v>77</v>
      </c>
      <c r="C37" t="s">
        <v>102</v>
      </c>
      <c r="D37" t="s">
        <v>14</v>
      </c>
      <c r="E37" s="17" t="s">
        <v>78</v>
      </c>
      <c r="F37" t="s">
        <v>156</v>
      </c>
      <c r="G37" t="s">
        <v>159</v>
      </c>
    </row>
    <row r="38" spans="1:8" ht="15.95">
      <c r="A38" t="s">
        <v>69</v>
      </c>
      <c r="B38" s="9" t="s">
        <v>78</v>
      </c>
      <c r="C38" t="s">
        <v>102</v>
      </c>
      <c r="D38" t="s">
        <v>14</v>
      </c>
      <c r="E38" s="17" t="s">
        <v>60</v>
      </c>
      <c r="F38" t="s">
        <v>156</v>
      </c>
      <c r="G38" t="s">
        <v>160</v>
      </c>
    </row>
    <row r="39" spans="1:8" ht="128.1">
      <c r="A39" t="s">
        <v>69</v>
      </c>
      <c r="B39" s="9" t="s">
        <v>79</v>
      </c>
      <c r="C39" t="s">
        <v>102</v>
      </c>
      <c r="D39" t="s">
        <v>44</v>
      </c>
      <c r="E39" s="17" t="s">
        <v>61</v>
      </c>
      <c r="F39" t="s">
        <v>156</v>
      </c>
      <c r="G39" s="7" t="s">
        <v>161</v>
      </c>
    </row>
    <row r="40" spans="1:8">
      <c r="A40" t="s">
        <v>69</v>
      </c>
      <c r="B40" s="9" t="s">
        <v>80</v>
      </c>
      <c r="C40" t="s">
        <v>102</v>
      </c>
      <c r="D40" t="s">
        <v>14</v>
      </c>
      <c r="E40" s="13"/>
    </row>
    <row r="41" spans="1:8">
      <c r="A41" t="s">
        <v>69</v>
      </c>
      <c r="B41" s="9" t="s">
        <v>82</v>
      </c>
      <c r="C41" t="s">
        <v>102</v>
      </c>
      <c r="D41" t="s">
        <v>14</v>
      </c>
      <c r="E41" s="13"/>
    </row>
    <row r="42" spans="1:8">
      <c r="A42" t="s">
        <v>69</v>
      </c>
      <c r="B42" s="9" t="s">
        <v>85</v>
      </c>
      <c r="C42" t="s">
        <v>102</v>
      </c>
      <c r="D42" t="s">
        <v>14</v>
      </c>
    </row>
    <row r="43" spans="1:8" ht="15.95">
      <c r="A43" t="s">
        <v>8</v>
      </c>
      <c r="B43" s="10" t="s">
        <v>13</v>
      </c>
      <c r="D43" t="s">
        <v>14</v>
      </c>
      <c r="E43" s="17" t="s">
        <v>85</v>
      </c>
      <c r="F43" t="s">
        <v>162</v>
      </c>
    </row>
    <row r="44" spans="1:8" ht="15.95">
      <c r="A44" t="s">
        <v>8</v>
      </c>
      <c r="B44" s="11" t="s">
        <v>15</v>
      </c>
      <c r="D44" t="s">
        <v>10</v>
      </c>
      <c r="E44" s="17" t="s">
        <v>79</v>
      </c>
      <c r="F44" t="s">
        <v>162</v>
      </c>
    </row>
    <row r="45" spans="1:8" ht="15.95">
      <c r="A45" t="s">
        <v>8</v>
      </c>
      <c r="B45" s="11" t="s">
        <v>17</v>
      </c>
      <c r="D45" t="s">
        <v>10</v>
      </c>
      <c r="E45" s="17" t="s">
        <v>78</v>
      </c>
      <c r="F45" t="s">
        <v>162</v>
      </c>
    </row>
    <row r="46" spans="1:8" ht="15.95">
      <c r="A46" t="s">
        <v>8</v>
      </c>
      <c r="B46" t="s">
        <v>19</v>
      </c>
      <c r="D46" t="s">
        <v>10</v>
      </c>
      <c r="E46" s="17" t="s">
        <v>60</v>
      </c>
      <c r="F46" t="s">
        <v>162</v>
      </c>
    </row>
    <row r="47" spans="1:8" ht="15.95">
      <c r="A47" t="s">
        <v>8</v>
      </c>
      <c r="B47" t="s">
        <v>27</v>
      </c>
      <c r="D47" t="s">
        <v>14</v>
      </c>
      <c r="E47" s="17" t="s">
        <v>61</v>
      </c>
      <c r="F47" t="s">
        <v>162</v>
      </c>
    </row>
    <row r="48" spans="1:8">
      <c r="A48" t="s">
        <v>8</v>
      </c>
      <c r="B48" t="s">
        <v>28</v>
      </c>
      <c r="D48" t="s">
        <v>14</v>
      </c>
    </row>
    <row r="49" spans="1:6">
      <c r="A49" t="s">
        <v>8</v>
      </c>
      <c r="B49" s="12" t="s">
        <v>33</v>
      </c>
      <c r="D49" t="s">
        <v>10</v>
      </c>
    </row>
    <row r="50" spans="1:6">
      <c r="A50" t="s">
        <v>8</v>
      </c>
      <c r="B50" t="s">
        <v>40</v>
      </c>
      <c r="D50" t="s">
        <v>14</v>
      </c>
    </row>
    <row r="51" spans="1:6">
      <c r="A51" t="s">
        <v>45</v>
      </c>
      <c r="B51" t="s">
        <v>46</v>
      </c>
      <c r="D51" t="s">
        <v>14</v>
      </c>
    </row>
    <row r="52" spans="1:6">
      <c r="A52" t="s">
        <v>45</v>
      </c>
      <c r="B52" t="s">
        <v>51</v>
      </c>
      <c r="D52" t="s">
        <v>14</v>
      </c>
      <c r="E52" s="7">
        <f>9000*5*60</f>
        <v>2700000</v>
      </c>
    </row>
    <row r="53" spans="1:6">
      <c r="A53" t="s">
        <v>45</v>
      </c>
      <c r="B53" t="s">
        <v>53</v>
      </c>
      <c r="D53" t="s">
        <v>14</v>
      </c>
    </row>
    <row r="54" spans="1:6">
      <c r="A54" t="s">
        <v>45</v>
      </c>
      <c r="B54" t="s">
        <v>54</v>
      </c>
      <c r="D54" t="s">
        <v>14</v>
      </c>
      <c r="E54" s="7">
        <f>480000/9000</f>
        <v>53.333333333333336</v>
      </c>
      <c r="F54" s="1"/>
    </row>
    <row r="55" spans="1:6">
      <c r="A55" t="s">
        <v>45</v>
      </c>
      <c r="B55" t="s">
        <v>59</v>
      </c>
      <c r="D55" t="s">
        <v>44</v>
      </c>
      <c r="F55" s="1"/>
    </row>
    <row r="56" spans="1:6">
      <c r="A56" t="s">
        <v>45</v>
      </c>
      <c r="B56" t="s">
        <v>62</v>
      </c>
      <c r="D56" t="s">
        <v>14</v>
      </c>
      <c r="E56" s="28">
        <f>100000*60</f>
        <v>6000000</v>
      </c>
      <c r="F56" s="1"/>
    </row>
    <row r="57" spans="1:6">
      <c r="A57" t="s">
        <v>45</v>
      </c>
      <c r="B57" t="s">
        <v>64</v>
      </c>
      <c r="D57" t="s">
        <v>14</v>
      </c>
      <c r="F57" s="1"/>
    </row>
    <row r="58" spans="1:6">
      <c r="A58" t="s">
        <v>45</v>
      </c>
      <c r="B58" t="s">
        <v>65</v>
      </c>
      <c r="D58" t="s">
        <v>14</v>
      </c>
      <c r="F58" s="1"/>
    </row>
    <row r="59" spans="1:6">
      <c r="A59" t="s">
        <v>45</v>
      </c>
      <c r="B59" t="s">
        <v>68</v>
      </c>
      <c r="D59" t="s">
        <v>14</v>
      </c>
      <c r="E59" s="28">
        <f>1720320*2</f>
        <v>3440640</v>
      </c>
      <c r="F59" s="1"/>
    </row>
    <row r="60" spans="1:6">
      <c r="A60" t="s">
        <v>69</v>
      </c>
      <c r="B60" t="s">
        <v>70</v>
      </c>
      <c r="F60" s="1"/>
    </row>
    <row r="61" spans="1:6">
      <c r="A61" t="s">
        <v>69</v>
      </c>
      <c r="B61" t="s">
        <v>71</v>
      </c>
      <c r="D61" t="s">
        <v>44</v>
      </c>
      <c r="E61" s="13"/>
      <c r="F61" s="1"/>
    </row>
    <row r="62" spans="1:6">
      <c r="A62" t="s">
        <v>69</v>
      </c>
      <c r="B62" t="s">
        <v>72</v>
      </c>
      <c r="E62" s="13">
        <v>3440640</v>
      </c>
      <c r="F62" s="1"/>
    </row>
    <row r="63" spans="1:6">
      <c r="A63" t="s">
        <v>69</v>
      </c>
      <c r="B63" t="s">
        <v>73</v>
      </c>
      <c r="D63" t="s">
        <v>44</v>
      </c>
      <c r="E63" s="13"/>
      <c r="F63" s="1"/>
    </row>
    <row r="64" spans="1:6">
      <c r="A64" t="s">
        <v>69</v>
      </c>
      <c r="B64" t="s">
        <v>74</v>
      </c>
      <c r="D64" t="s">
        <v>75</v>
      </c>
      <c r="E64" s="13"/>
      <c r="F64" s="1"/>
    </row>
    <row r="65" spans="1:6">
      <c r="A65" t="s">
        <v>69</v>
      </c>
      <c r="B65" t="s">
        <v>81</v>
      </c>
      <c r="D65" t="s">
        <v>14</v>
      </c>
      <c r="E65" s="13"/>
      <c r="F65" s="1"/>
    </row>
    <row r="66" spans="1:6">
      <c r="A66" t="s">
        <v>69</v>
      </c>
      <c r="B66" t="s">
        <v>83</v>
      </c>
      <c r="D66" t="s">
        <v>14</v>
      </c>
      <c r="E66" s="13"/>
      <c r="F66" s="1"/>
    </row>
    <row r="67" spans="1:6">
      <c r="A67" t="s">
        <v>69</v>
      </c>
      <c r="B67" t="s">
        <v>84</v>
      </c>
      <c r="D67" t="s">
        <v>14</v>
      </c>
      <c r="E67" s="13"/>
    </row>
    <row r="68" spans="1:6">
      <c r="A68" t="s">
        <v>69</v>
      </c>
      <c r="B68" t="s">
        <v>86</v>
      </c>
    </row>
    <row r="69" spans="1:6">
      <c r="A69" t="s">
        <v>69</v>
      </c>
      <c r="B69" t="s">
        <v>87</v>
      </c>
      <c r="D69" t="s">
        <v>14</v>
      </c>
    </row>
    <row r="70" spans="1:6">
      <c r="A70" t="s">
        <v>69</v>
      </c>
      <c r="B70" t="s">
        <v>88</v>
      </c>
    </row>
    <row r="71" spans="1:6">
      <c r="A71" t="s">
        <v>69</v>
      </c>
      <c r="B71" t="s">
        <v>89</v>
      </c>
    </row>
    <row r="72" spans="1:6">
      <c r="A72" t="s">
        <v>69</v>
      </c>
      <c r="B72" t="s">
        <v>90</v>
      </c>
    </row>
    <row r="73" spans="1:6">
      <c r="A73" t="s">
        <v>91</v>
      </c>
      <c r="B73" t="s">
        <v>92</v>
      </c>
      <c r="D73" t="s">
        <v>93</v>
      </c>
    </row>
    <row r="74" spans="1:6">
      <c r="A74" t="s">
        <v>91</v>
      </c>
      <c r="B74" t="s">
        <v>94</v>
      </c>
      <c r="D74" t="s">
        <v>93</v>
      </c>
    </row>
    <row r="75" spans="1:6">
      <c r="A75" t="s">
        <v>91</v>
      </c>
      <c r="B75" t="s">
        <v>95</v>
      </c>
      <c r="D75" t="s">
        <v>93</v>
      </c>
    </row>
    <row r="76" spans="1:6">
      <c r="A76" t="s">
        <v>91</v>
      </c>
      <c r="B76" t="s">
        <v>96</v>
      </c>
      <c r="D76" t="s">
        <v>93</v>
      </c>
    </row>
    <row r="77" spans="1:6">
      <c r="A77" t="s">
        <v>91</v>
      </c>
      <c r="B77" t="s">
        <v>97</v>
      </c>
      <c r="D77" t="s">
        <v>93</v>
      </c>
    </row>
    <row r="78" spans="1:6">
      <c r="A78" t="s">
        <v>91</v>
      </c>
      <c r="B78" t="s">
        <v>98</v>
      </c>
      <c r="D78" t="s">
        <v>93</v>
      </c>
    </row>
  </sheetData>
  <autoFilter ref="A1:E78" xr:uid="{8E515336-7BAE-0C4D-91A7-3ACF4002AE93}">
    <sortState xmlns:xlrd2="http://schemas.microsoft.com/office/spreadsheetml/2017/richdata2" ref="A2:E78">
      <sortCondition sortBy="cellColor" ref="B8:B78" dxfId="0"/>
    </sortState>
  </autoFilter>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8FC26-C7F1-4DDC-A488-3A9BE76BDD51}">
  <dimension ref="A1:B16"/>
  <sheetViews>
    <sheetView workbookViewId="0">
      <selection activeCell="E11" sqref="E11"/>
    </sheetView>
  </sheetViews>
  <sheetFormatPr defaultRowHeight="15"/>
  <cols>
    <col min="1" max="1" width="26.42578125" customWidth="1"/>
  </cols>
  <sheetData>
    <row r="1" spans="1:2">
      <c r="A1" s="9" t="s">
        <v>163</v>
      </c>
      <c r="B1" t="s">
        <v>164</v>
      </c>
    </row>
    <row r="2" spans="1:2">
      <c r="A2" s="9" t="s">
        <v>165</v>
      </c>
      <c r="B2" t="s">
        <v>164</v>
      </c>
    </row>
    <row r="3" spans="1:2">
      <c r="A3" s="9" t="s">
        <v>166</v>
      </c>
      <c r="B3" t="s">
        <v>164</v>
      </c>
    </row>
    <row r="4" spans="1:2">
      <c r="A4" s="38" t="s">
        <v>167</v>
      </c>
      <c r="B4" t="s">
        <v>168</v>
      </c>
    </row>
    <row r="5" spans="1:2">
      <c r="A5" s="37" t="s">
        <v>169</v>
      </c>
      <c r="B5" t="s">
        <v>170</v>
      </c>
    </row>
    <row r="6" spans="1:2">
      <c r="A6" s="38" t="s">
        <v>171</v>
      </c>
      <c r="B6" t="s">
        <v>172</v>
      </c>
    </row>
    <row r="7" spans="1:2">
      <c r="A7" s="9" t="s">
        <v>173</v>
      </c>
      <c r="B7" t="s">
        <v>174</v>
      </c>
    </row>
    <row r="8" spans="1:2">
      <c r="A8" s="9" t="s">
        <v>175</v>
      </c>
      <c r="B8" t="s">
        <v>176</v>
      </c>
    </row>
    <row r="9" spans="1:2">
      <c r="A9" s="9" t="s">
        <v>177</v>
      </c>
      <c r="B9" t="s">
        <v>178</v>
      </c>
    </row>
    <row r="10" spans="1:2">
      <c r="A10" s="9" t="s">
        <v>179</v>
      </c>
      <c r="B10" t="s">
        <v>180</v>
      </c>
    </row>
    <row r="11" spans="1:2">
      <c r="A11" s="9" t="s">
        <v>181</v>
      </c>
      <c r="B11" t="s">
        <v>182</v>
      </c>
    </row>
    <row r="12" spans="1:2">
      <c r="A12" s="9" t="s">
        <v>183</v>
      </c>
      <c r="B12" t="s">
        <v>182</v>
      </c>
    </row>
    <row r="13" spans="1:2">
      <c r="A13" s="9" t="s">
        <v>184</v>
      </c>
      <c r="B13" t="s">
        <v>182</v>
      </c>
    </row>
    <row r="14" spans="1:2">
      <c r="A14" s="9" t="s">
        <v>185</v>
      </c>
      <c r="B14" t="s">
        <v>182</v>
      </c>
    </row>
    <row r="15" spans="1:2">
      <c r="A15" s="9" t="s">
        <v>186</v>
      </c>
      <c r="B15" t="s">
        <v>182</v>
      </c>
    </row>
    <row r="16" spans="1:2">
      <c r="A16" s="9" t="s">
        <v>187</v>
      </c>
      <c r="B16" t="s">
        <v>182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55023-C6C1-7F4A-8729-18F7EB9D5418}">
  <dimension ref="A1:O20"/>
  <sheetViews>
    <sheetView topLeftCell="B10" zoomScale="125" workbookViewId="0">
      <selection activeCell="B14" sqref="B14"/>
    </sheetView>
  </sheetViews>
  <sheetFormatPr defaultColWidth="11.42578125" defaultRowHeight="15"/>
  <cols>
    <col min="1" max="1" width="28.85546875" customWidth="1"/>
    <col min="2" max="4" width="40.42578125" customWidth="1"/>
    <col min="5" max="5" width="13.140625" customWidth="1"/>
    <col min="9" max="9" width="23.140625" customWidth="1"/>
    <col min="10" max="11" width="20.7109375" customWidth="1"/>
  </cols>
  <sheetData>
    <row r="1" spans="1:15">
      <c r="A1" s="3" t="s">
        <v>188</v>
      </c>
      <c r="B1" s="26" t="s">
        <v>189</v>
      </c>
      <c r="C1" s="26" t="s">
        <v>190</v>
      </c>
      <c r="D1" s="26" t="s">
        <v>191</v>
      </c>
      <c r="E1" s="26" t="s">
        <v>192</v>
      </c>
      <c r="F1" s="26" t="s">
        <v>193</v>
      </c>
      <c r="G1" s="26" t="s">
        <v>194</v>
      </c>
      <c r="H1" s="26" t="s">
        <v>195</v>
      </c>
      <c r="I1" t="s">
        <v>196</v>
      </c>
      <c r="J1" t="s">
        <v>197</v>
      </c>
      <c r="K1" t="s">
        <v>198</v>
      </c>
      <c r="L1" t="s">
        <v>199</v>
      </c>
    </row>
    <row r="2" spans="1:15" ht="15.95">
      <c r="A2" s="34" t="s">
        <v>200</v>
      </c>
      <c r="B2" s="7" t="s">
        <v>23</v>
      </c>
      <c r="C2" t="s">
        <v>201</v>
      </c>
      <c r="D2" t="s">
        <v>202</v>
      </c>
      <c r="E2" t="s">
        <v>203</v>
      </c>
      <c r="F2" t="s">
        <v>204</v>
      </c>
      <c r="G2" t="s">
        <v>205</v>
      </c>
      <c r="H2" t="s">
        <v>206</v>
      </c>
      <c r="I2" t="s">
        <v>207</v>
      </c>
      <c r="J2" s="30" t="s">
        <v>208</v>
      </c>
      <c r="K2" t="s">
        <v>209</v>
      </c>
      <c r="L2" s="30" t="s">
        <v>210</v>
      </c>
      <c r="N2" t="s">
        <v>211</v>
      </c>
      <c r="O2" s="7"/>
    </row>
    <row r="3" spans="1:15" ht="15.95">
      <c r="A3" s="34" t="s">
        <v>200</v>
      </c>
      <c r="B3" s="7" t="s">
        <v>140</v>
      </c>
      <c r="C3" t="s">
        <v>212</v>
      </c>
      <c r="D3" s="33" t="s">
        <v>213</v>
      </c>
      <c r="E3" t="s">
        <v>203</v>
      </c>
      <c r="F3" s="27" t="s">
        <v>214</v>
      </c>
      <c r="G3" t="s">
        <v>205</v>
      </c>
      <c r="H3" s="8" t="s">
        <v>215</v>
      </c>
      <c r="I3" t="s">
        <v>207</v>
      </c>
      <c r="N3" t="s">
        <v>216</v>
      </c>
      <c r="O3" s="7"/>
    </row>
    <row r="4" spans="1:15" ht="15.95">
      <c r="A4" s="34" t="s">
        <v>200</v>
      </c>
      <c r="B4" s="7" t="s">
        <v>143</v>
      </c>
      <c r="C4" t="s">
        <v>217</v>
      </c>
      <c r="D4" t="s">
        <v>218</v>
      </c>
      <c r="E4" t="s">
        <v>203</v>
      </c>
      <c r="F4" s="8" t="s">
        <v>219</v>
      </c>
      <c r="G4" t="s">
        <v>205</v>
      </c>
      <c r="H4" s="27" t="s">
        <v>220</v>
      </c>
      <c r="I4" t="s">
        <v>207</v>
      </c>
      <c r="J4" s="29" t="s">
        <v>221</v>
      </c>
      <c r="N4" t="s">
        <v>222</v>
      </c>
    </row>
    <row r="5" spans="1:15" ht="15.95">
      <c r="A5" s="34" t="s">
        <v>200</v>
      </c>
      <c r="B5" s="7" t="s">
        <v>145</v>
      </c>
      <c r="C5" t="s">
        <v>223</v>
      </c>
      <c r="D5" t="s">
        <v>224</v>
      </c>
      <c r="E5" t="s">
        <v>203</v>
      </c>
      <c r="F5" t="s">
        <v>225</v>
      </c>
      <c r="G5" t="s">
        <v>205</v>
      </c>
      <c r="H5" s="8" t="s">
        <v>226</v>
      </c>
      <c r="I5" t="s">
        <v>227</v>
      </c>
      <c r="J5" s="29" t="s">
        <v>228</v>
      </c>
      <c r="N5" t="s">
        <v>229</v>
      </c>
    </row>
    <row r="6" spans="1:15">
      <c r="A6" s="34" t="s">
        <v>200</v>
      </c>
      <c r="B6" t="s">
        <v>148</v>
      </c>
      <c r="C6" t="s">
        <v>230</v>
      </c>
      <c r="D6" t="s">
        <v>231</v>
      </c>
      <c r="E6" t="s">
        <v>203</v>
      </c>
      <c r="F6" t="s">
        <v>232</v>
      </c>
      <c r="G6" t="s">
        <v>205</v>
      </c>
      <c r="H6" t="s">
        <v>233</v>
      </c>
      <c r="I6" t="s">
        <v>227</v>
      </c>
      <c r="J6" s="29" t="s">
        <v>234</v>
      </c>
      <c r="N6" t="s">
        <v>235</v>
      </c>
    </row>
    <row r="7" spans="1:15">
      <c r="A7" s="34" t="s">
        <v>200</v>
      </c>
      <c r="B7" t="s">
        <v>236</v>
      </c>
      <c r="C7" t="s">
        <v>237</v>
      </c>
      <c r="D7" t="s">
        <v>238</v>
      </c>
      <c r="J7" s="29"/>
    </row>
    <row r="8" spans="1:15">
      <c r="A8" s="34" t="s">
        <v>200</v>
      </c>
      <c r="B8" t="s">
        <v>239</v>
      </c>
      <c r="C8" t="s">
        <v>240</v>
      </c>
      <c r="D8" t="s">
        <v>241</v>
      </c>
      <c r="E8" t="s">
        <v>203</v>
      </c>
      <c r="F8" t="s">
        <v>242</v>
      </c>
      <c r="G8" t="s">
        <v>205</v>
      </c>
      <c r="H8" s="8" t="s">
        <v>243</v>
      </c>
      <c r="I8" t="s">
        <v>227</v>
      </c>
    </row>
    <row r="9" spans="1:15" ht="15.95">
      <c r="A9" s="34" t="s">
        <v>200</v>
      </c>
      <c r="B9" s="7" t="s">
        <v>50</v>
      </c>
      <c r="C9" t="s">
        <v>244</v>
      </c>
      <c r="D9" t="s">
        <v>245</v>
      </c>
      <c r="E9" t="s">
        <v>203</v>
      </c>
      <c r="F9" s="8" t="s">
        <v>246</v>
      </c>
      <c r="G9" t="s">
        <v>205</v>
      </c>
      <c r="H9" s="8" t="s">
        <v>247</v>
      </c>
      <c r="I9" t="s">
        <v>248</v>
      </c>
      <c r="J9" t="s">
        <v>249</v>
      </c>
    </row>
    <row r="10" spans="1:15" ht="32.1">
      <c r="A10" s="36" t="s">
        <v>250</v>
      </c>
      <c r="B10" s="7" t="s">
        <v>152</v>
      </c>
      <c r="C10" t="s">
        <v>251</v>
      </c>
      <c r="D10" t="s">
        <v>252</v>
      </c>
      <c r="E10" t="s">
        <v>203</v>
      </c>
      <c r="F10" t="s">
        <v>253</v>
      </c>
      <c r="G10" t="s">
        <v>205</v>
      </c>
      <c r="H10" s="8" t="s">
        <v>254</v>
      </c>
      <c r="I10" t="s">
        <v>255</v>
      </c>
    </row>
    <row r="11" spans="1:15" ht="15.95">
      <c r="A11" s="34" t="s">
        <v>200</v>
      </c>
      <c r="B11" s="7" t="s">
        <v>256</v>
      </c>
      <c r="C11" t="s">
        <v>257</v>
      </c>
      <c r="D11" t="s">
        <v>258</v>
      </c>
      <c r="E11" t="s">
        <v>203</v>
      </c>
      <c r="F11" t="s">
        <v>259</v>
      </c>
      <c r="G11" t="s">
        <v>205</v>
      </c>
      <c r="H11" s="8" t="s">
        <v>260</v>
      </c>
      <c r="I11" t="s">
        <v>261</v>
      </c>
    </row>
    <row r="12" spans="1:15" ht="15.95">
      <c r="A12" s="34" t="s">
        <v>200</v>
      </c>
      <c r="B12" s="7" t="s">
        <v>85</v>
      </c>
      <c r="C12" t="s">
        <v>262</v>
      </c>
      <c r="E12" t="s">
        <v>203</v>
      </c>
      <c r="F12" s="8" t="s">
        <v>263</v>
      </c>
      <c r="G12" t="s">
        <v>205</v>
      </c>
      <c r="H12" s="8" t="s">
        <v>264</v>
      </c>
      <c r="I12" t="s">
        <v>265</v>
      </c>
    </row>
    <row r="13" spans="1:15" ht="15.95">
      <c r="A13" s="34" t="s">
        <v>200</v>
      </c>
      <c r="B13" s="7" t="s">
        <v>79</v>
      </c>
      <c r="C13" t="s">
        <v>266</v>
      </c>
      <c r="E13" t="s">
        <v>203</v>
      </c>
      <c r="F13" s="8" t="s">
        <v>267</v>
      </c>
      <c r="G13" t="s">
        <v>205</v>
      </c>
      <c r="H13" s="8" t="s">
        <v>268</v>
      </c>
      <c r="I13" t="s">
        <v>269</v>
      </c>
    </row>
    <row r="14" spans="1:15" ht="15.95">
      <c r="A14" s="34" t="s">
        <v>200</v>
      </c>
      <c r="B14" s="7" t="s">
        <v>78</v>
      </c>
      <c r="C14" t="s">
        <v>270</v>
      </c>
      <c r="E14" t="s">
        <v>203</v>
      </c>
      <c r="F14" s="8" t="s">
        <v>271</v>
      </c>
      <c r="G14" t="s">
        <v>205</v>
      </c>
      <c r="H14" s="8" t="s">
        <v>272</v>
      </c>
      <c r="I14" t="s">
        <v>269</v>
      </c>
    </row>
    <row r="15" spans="1:15" ht="15.95">
      <c r="A15" s="34" t="s">
        <v>200</v>
      </c>
      <c r="B15" s="7" t="s">
        <v>273</v>
      </c>
      <c r="C15" t="s">
        <v>274</v>
      </c>
      <c r="E15" t="s">
        <v>203</v>
      </c>
      <c r="F15" s="31" t="s">
        <v>275</v>
      </c>
      <c r="G15" t="s">
        <v>205</v>
      </c>
      <c r="H15" s="8" t="s">
        <v>276</v>
      </c>
      <c r="I15" t="s">
        <v>265</v>
      </c>
    </row>
    <row r="16" spans="1:15" ht="15.95">
      <c r="A16" s="34" t="s">
        <v>200</v>
      </c>
      <c r="B16" s="7" t="s">
        <v>61</v>
      </c>
      <c r="C16" t="s">
        <v>277</v>
      </c>
      <c r="E16" t="s">
        <v>203</v>
      </c>
      <c r="F16" s="27" t="s">
        <v>278</v>
      </c>
      <c r="G16" t="s">
        <v>205</v>
      </c>
      <c r="H16" s="8" t="s">
        <v>279</v>
      </c>
      <c r="I16" t="s">
        <v>280</v>
      </c>
    </row>
    <row r="17" spans="1:2">
      <c r="A17" s="34" t="s">
        <v>200</v>
      </c>
      <c r="B17" t="s">
        <v>281</v>
      </c>
    </row>
    <row r="18" spans="1:2">
      <c r="A18" s="34" t="s">
        <v>200</v>
      </c>
      <c r="B18" t="s">
        <v>282</v>
      </c>
    </row>
    <row r="19" spans="1:2">
      <c r="A19" s="34" t="s">
        <v>200</v>
      </c>
      <c r="B19" t="s">
        <v>283</v>
      </c>
    </row>
    <row r="20" spans="1:2">
      <c r="A20" s="34" t="s">
        <v>200</v>
      </c>
      <c r="B20" t="s">
        <v>284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8637E-A11F-AD4A-933B-79E5B22E6773}">
  <dimension ref="A1:E42"/>
  <sheetViews>
    <sheetView topLeftCell="A4" zoomScale="135" workbookViewId="0">
      <selection activeCell="B24" sqref="B24:B27"/>
    </sheetView>
  </sheetViews>
  <sheetFormatPr defaultColWidth="11.42578125" defaultRowHeight="15"/>
  <cols>
    <col min="1" max="1" width="45.85546875" customWidth="1"/>
    <col min="2" max="2" width="35" customWidth="1"/>
    <col min="3" max="3" width="25.7109375" customWidth="1"/>
    <col min="4" max="4" width="17.85546875" bestFit="1" customWidth="1"/>
    <col min="5" max="5" width="19.28515625" customWidth="1"/>
  </cols>
  <sheetData>
    <row r="1" spans="1:5">
      <c r="A1" t="s">
        <v>285</v>
      </c>
      <c r="B1" t="s">
        <v>286</v>
      </c>
      <c r="C1" t="s">
        <v>287</v>
      </c>
      <c r="D1" t="s">
        <v>288</v>
      </c>
    </row>
    <row r="2" spans="1:5">
      <c r="A2" t="s">
        <v>289</v>
      </c>
      <c r="B2" t="s">
        <v>290</v>
      </c>
      <c r="C2" t="s">
        <v>291</v>
      </c>
      <c r="D2" t="s">
        <v>292</v>
      </c>
    </row>
    <row r="3" spans="1:5">
      <c r="A3" t="s">
        <v>293</v>
      </c>
      <c r="B3" t="s">
        <v>294</v>
      </c>
      <c r="C3" t="s">
        <v>295</v>
      </c>
      <c r="D3" t="s">
        <v>292</v>
      </c>
    </row>
    <row r="4" spans="1:5">
      <c r="D4" t="s">
        <v>296</v>
      </c>
    </row>
    <row r="5" spans="1:5">
      <c r="D5" t="s">
        <v>297</v>
      </c>
    </row>
    <row r="6" spans="1:5">
      <c r="D6" t="s">
        <v>292</v>
      </c>
    </row>
    <row r="7" spans="1:5">
      <c r="D7" t="s">
        <v>298</v>
      </c>
    </row>
    <row r="8" spans="1:5">
      <c r="D8" t="s">
        <v>299</v>
      </c>
    </row>
    <row r="10" spans="1:5" ht="15.95">
      <c r="A10" s="18" t="s">
        <v>300</v>
      </c>
      <c r="B10" t="s">
        <v>292</v>
      </c>
      <c r="C10" t="s">
        <v>296</v>
      </c>
      <c r="D10" t="s">
        <v>297</v>
      </c>
      <c r="E10" t="s">
        <v>298</v>
      </c>
    </row>
    <row r="11" spans="1:5">
      <c r="A11" t="s">
        <v>301</v>
      </c>
    </row>
    <row r="12" spans="1:5">
      <c r="A12" t="s">
        <v>302</v>
      </c>
    </row>
    <row r="13" spans="1:5">
      <c r="A13" t="s">
        <v>303</v>
      </c>
    </row>
    <row r="14" spans="1:5">
      <c r="A14" t="s">
        <v>304</v>
      </c>
    </row>
    <row r="15" spans="1:5">
      <c r="A15" t="s">
        <v>305</v>
      </c>
    </row>
    <row r="18" spans="1:2">
      <c r="B18" t="s">
        <v>306</v>
      </c>
    </row>
    <row r="19" spans="1:2">
      <c r="A19" t="s">
        <v>301</v>
      </c>
    </row>
    <row r="20" spans="1:2">
      <c r="A20" t="s">
        <v>302</v>
      </c>
    </row>
    <row r="21" spans="1:2">
      <c r="A21" t="s">
        <v>303</v>
      </c>
    </row>
    <row r="22" spans="1:2">
      <c r="A22" t="s">
        <v>304</v>
      </c>
    </row>
    <row r="23" spans="1:2">
      <c r="A23" t="s">
        <v>305</v>
      </c>
    </row>
    <row r="24" spans="1:2">
      <c r="B24" t="s">
        <v>307</v>
      </c>
    </row>
    <row r="25" spans="1:2">
      <c r="B25" t="s">
        <v>308</v>
      </c>
    </row>
    <row r="26" spans="1:2">
      <c r="B26" t="s">
        <v>309</v>
      </c>
    </row>
    <row r="27" spans="1:2">
      <c r="B27" t="s">
        <v>310</v>
      </c>
    </row>
    <row r="29" spans="1:2">
      <c r="A29" t="s">
        <v>311</v>
      </c>
    </row>
    <row r="30" spans="1:2">
      <c r="A30" t="s">
        <v>312</v>
      </c>
      <c r="B30" s="39" t="s">
        <v>313</v>
      </c>
    </row>
    <row r="31" spans="1:2">
      <c r="A31" t="s">
        <v>314</v>
      </c>
      <c r="B31" s="39"/>
    </row>
    <row r="32" spans="1:2" ht="32.1">
      <c r="A32" s="7" t="s">
        <v>315</v>
      </c>
      <c r="B32" s="39"/>
    </row>
    <row r="33" spans="1:2">
      <c r="A33" t="s">
        <v>316</v>
      </c>
      <c r="B33" s="39"/>
    </row>
    <row r="35" spans="1:2">
      <c r="A35" t="s">
        <v>317</v>
      </c>
    </row>
    <row r="36" spans="1:2">
      <c r="A36" t="s">
        <v>318</v>
      </c>
    </row>
    <row r="41" spans="1:2">
      <c r="A41" t="s">
        <v>319</v>
      </c>
      <c r="B41" s="19" t="s">
        <v>320</v>
      </c>
    </row>
    <row r="42" spans="1:2">
      <c r="A42" t="s">
        <v>321</v>
      </c>
      <c r="B42" s="19"/>
    </row>
  </sheetData>
  <mergeCells count="1">
    <mergeCell ref="B30:B3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F5702-233F-5D42-AE88-ADD00AA395B5}">
  <dimension ref="A1:G88"/>
  <sheetViews>
    <sheetView topLeftCell="A10" workbookViewId="0">
      <selection activeCell="C23" sqref="C23"/>
    </sheetView>
  </sheetViews>
  <sheetFormatPr defaultColWidth="11.42578125" defaultRowHeight="15"/>
  <cols>
    <col min="1" max="1" width="60.28515625" style="7" customWidth="1"/>
    <col min="2" max="3" width="75.7109375" style="7" customWidth="1"/>
    <col min="4" max="5" width="46" style="7" customWidth="1"/>
    <col min="6" max="6" width="44.140625" customWidth="1"/>
  </cols>
  <sheetData>
    <row r="1" spans="1:7" s="3" customFormat="1">
      <c r="A1" s="32" t="s">
        <v>195</v>
      </c>
      <c r="B1" s="32" t="s">
        <v>322</v>
      </c>
      <c r="C1" s="32" t="s">
        <v>323</v>
      </c>
      <c r="D1" s="32" t="s">
        <v>324</v>
      </c>
      <c r="E1" s="32" t="s">
        <v>325</v>
      </c>
      <c r="F1" s="32" t="s">
        <v>326</v>
      </c>
    </row>
    <row r="2" spans="1:7" ht="76.5">
      <c r="A2" t="s">
        <v>327</v>
      </c>
      <c r="B2" s="7" t="s">
        <v>328</v>
      </c>
      <c r="C2" s="7" t="s">
        <v>329</v>
      </c>
      <c r="D2" s="20" t="s">
        <v>330</v>
      </c>
      <c r="E2" s="22" t="s">
        <v>330</v>
      </c>
      <c r="F2" s="22" t="s">
        <v>330</v>
      </c>
      <c r="G2" s="24"/>
    </row>
    <row r="3" spans="1:7" ht="60.75">
      <c r="A3" t="s">
        <v>331</v>
      </c>
      <c r="B3" s="7" t="s">
        <v>332</v>
      </c>
      <c r="C3" s="7" t="s">
        <v>333</v>
      </c>
      <c r="D3" s="20" t="s">
        <v>334</v>
      </c>
      <c r="E3" s="22" t="s">
        <v>334</v>
      </c>
      <c r="F3" s="21" t="s">
        <v>334</v>
      </c>
      <c r="G3" s="24"/>
    </row>
    <row r="4" spans="1:7" ht="30.75">
      <c r="A4" t="s">
        <v>335</v>
      </c>
      <c r="B4" s="7" t="s">
        <v>336</v>
      </c>
      <c r="C4" s="7" t="s">
        <v>333</v>
      </c>
      <c r="D4" s="21" t="s">
        <v>337</v>
      </c>
      <c r="E4" s="22" t="s">
        <v>337</v>
      </c>
      <c r="F4" s="23" t="s">
        <v>337</v>
      </c>
      <c r="G4" s="11"/>
    </row>
    <row r="5" spans="1:7" ht="45.75">
      <c r="A5" t="s">
        <v>338</v>
      </c>
      <c r="B5" s="7" t="s">
        <v>339</v>
      </c>
      <c r="C5" s="7" t="s">
        <v>329</v>
      </c>
      <c r="D5" s="20" t="s">
        <v>340</v>
      </c>
      <c r="E5" s="22" t="s">
        <v>340</v>
      </c>
      <c r="F5" s="23" t="s">
        <v>340</v>
      </c>
      <c r="G5" s="24"/>
    </row>
    <row r="6" spans="1:7" ht="30.75">
      <c r="A6" t="s">
        <v>341</v>
      </c>
      <c r="B6" s="7" t="s">
        <v>342</v>
      </c>
      <c r="C6" s="7" t="s">
        <v>333</v>
      </c>
      <c r="D6" s="21" t="s">
        <v>343</v>
      </c>
      <c r="E6" s="22" t="s">
        <v>343</v>
      </c>
      <c r="F6" s="23" t="s">
        <v>343</v>
      </c>
      <c r="G6" s="11"/>
    </row>
    <row r="7" spans="1:7" ht="30.75">
      <c r="A7" t="s">
        <v>344</v>
      </c>
      <c r="B7" s="7" t="s">
        <v>345</v>
      </c>
      <c r="C7" s="7" t="s">
        <v>346</v>
      </c>
      <c r="D7" s="20" t="s">
        <v>347</v>
      </c>
      <c r="E7" s="22" t="s">
        <v>347</v>
      </c>
      <c r="F7" s="23" t="s">
        <v>347</v>
      </c>
      <c r="G7" s="24"/>
    </row>
    <row r="8" spans="1:7" ht="60.75">
      <c r="A8" t="s">
        <v>348</v>
      </c>
      <c r="B8" s="7" t="s">
        <v>349</v>
      </c>
      <c r="C8" s="7" t="s">
        <v>329</v>
      </c>
      <c r="D8" s="20" t="s">
        <v>350</v>
      </c>
      <c r="E8" s="21" t="s">
        <v>350</v>
      </c>
      <c r="F8" s="23" t="s">
        <v>350</v>
      </c>
      <c r="G8" s="24"/>
    </row>
    <row r="9" spans="1:7" ht="30.75">
      <c r="A9" t="s">
        <v>351</v>
      </c>
      <c r="B9" s="7" t="s">
        <v>352</v>
      </c>
      <c r="C9" s="7" t="s">
        <v>353</v>
      </c>
      <c r="D9" s="21" t="s">
        <v>354</v>
      </c>
      <c r="E9" s="21" t="s">
        <v>354</v>
      </c>
      <c r="F9" s="21" t="s">
        <v>354</v>
      </c>
      <c r="G9" s="11"/>
    </row>
    <row r="10" spans="1:7" ht="45.75">
      <c r="A10" t="s">
        <v>355</v>
      </c>
      <c r="B10" s="7" t="s">
        <v>356</v>
      </c>
      <c r="C10" s="7" t="s">
        <v>357</v>
      </c>
      <c r="D10" s="21" t="s">
        <v>358</v>
      </c>
      <c r="E10" s="21" t="s">
        <v>358</v>
      </c>
      <c r="F10" s="23" t="s">
        <v>358</v>
      </c>
      <c r="G10" s="24"/>
    </row>
    <row r="11" spans="1:7" ht="30.75">
      <c r="A11" t="s">
        <v>359</v>
      </c>
      <c r="B11" s="7" t="s">
        <v>360</v>
      </c>
      <c r="C11" s="7" t="s">
        <v>329</v>
      </c>
      <c r="D11" s="20" t="s">
        <v>361</v>
      </c>
      <c r="E11" s="21" t="s">
        <v>361</v>
      </c>
      <c r="F11" s="21" t="s">
        <v>361</v>
      </c>
      <c r="G11" s="24"/>
    </row>
    <row r="12" spans="1:7" ht="30.75">
      <c r="A12" t="s">
        <v>362</v>
      </c>
      <c r="B12" s="7" t="s">
        <v>363</v>
      </c>
      <c r="C12" s="7" t="s">
        <v>333</v>
      </c>
      <c r="D12" s="20" t="s">
        <v>364</v>
      </c>
      <c r="E12" s="22" t="s">
        <v>364</v>
      </c>
      <c r="F12" s="23" t="s">
        <v>364</v>
      </c>
      <c r="G12" s="11"/>
    </row>
    <row r="13" spans="1:7" ht="30.75">
      <c r="A13" t="s">
        <v>365</v>
      </c>
      <c r="B13" s="7" t="s">
        <v>366</v>
      </c>
      <c r="C13" s="7" t="s">
        <v>329</v>
      </c>
      <c r="D13" s="20" t="s">
        <v>367</v>
      </c>
      <c r="E13" s="22" t="s">
        <v>367</v>
      </c>
      <c r="F13" s="23" t="s">
        <v>367</v>
      </c>
      <c r="G13" s="11"/>
    </row>
    <row r="14" spans="1:7" ht="30.75">
      <c r="A14" t="s">
        <v>368</v>
      </c>
      <c r="B14" s="7" t="s">
        <v>369</v>
      </c>
      <c r="C14" s="7" t="s">
        <v>333</v>
      </c>
      <c r="D14" s="21" t="s">
        <v>370</v>
      </c>
      <c r="E14" s="21" t="s">
        <v>370</v>
      </c>
      <c r="F14" s="21" t="s">
        <v>370</v>
      </c>
      <c r="G14" s="11"/>
    </row>
    <row r="15" spans="1:7">
      <c r="A15" t="s">
        <v>371</v>
      </c>
      <c r="B15" t="s">
        <v>372</v>
      </c>
      <c r="C15" t="s">
        <v>357</v>
      </c>
      <c r="D15" t="s">
        <v>373</v>
      </c>
    </row>
    <row r="16" spans="1:7">
      <c r="A16" t="s">
        <v>374</v>
      </c>
      <c r="B16" t="s">
        <v>375</v>
      </c>
      <c r="C16" t="s">
        <v>333</v>
      </c>
      <c r="D16" t="s">
        <v>376</v>
      </c>
    </row>
    <row r="17" spans="1:4">
      <c r="A17" t="s">
        <v>377</v>
      </c>
      <c r="B17" t="s">
        <v>378</v>
      </c>
      <c r="C17" t="s">
        <v>329</v>
      </c>
      <c r="D17" t="s">
        <v>379</v>
      </c>
    </row>
    <row r="18" spans="1:4">
      <c r="A18" t="s">
        <v>380</v>
      </c>
      <c r="B18" t="s">
        <v>381</v>
      </c>
      <c r="C18" t="s">
        <v>357</v>
      </c>
      <c r="D18" t="s">
        <v>382</v>
      </c>
    </row>
    <row r="19" spans="1:4">
      <c r="A19" t="s">
        <v>383</v>
      </c>
      <c r="B19" t="s">
        <v>384</v>
      </c>
      <c r="C19" t="s">
        <v>333</v>
      </c>
      <c r="D19" t="s">
        <v>385</v>
      </c>
    </row>
    <row r="20" spans="1:4">
      <c r="A20" t="s">
        <v>386</v>
      </c>
      <c r="B20" t="s">
        <v>387</v>
      </c>
      <c r="C20" t="s">
        <v>329</v>
      </c>
      <c r="D20" t="s">
        <v>388</v>
      </c>
    </row>
    <row r="21" spans="1:4">
      <c r="A21" t="s">
        <v>389</v>
      </c>
      <c r="B21" t="s">
        <v>390</v>
      </c>
      <c r="C21" t="s">
        <v>333</v>
      </c>
      <c r="D21" t="s">
        <v>391</v>
      </c>
    </row>
    <row r="22" spans="1:4">
      <c r="A22" t="s">
        <v>392</v>
      </c>
      <c r="B22" t="s">
        <v>393</v>
      </c>
      <c r="C22" t="s">
        <v>333</v>
      </c>
      <c r="D22" t="s">
        <v>394</v>
      </c>
    </row>
    <row r="23" spans="1:4">
      <c r="A23" t="s">
        <v>395</v>
      </c>
      <c r="B23" t="s">
        <v>396</v>
      </c>
      <c r="C23"/>
      <c r="D23" t="s">
        <v>397</v>
      </c>
    </row>
    <row r="24" spans="1:4">
      <c r="A24" t="s">
        <v>398</v>
      </c>
      <c r="B24" t="s">
        <v>399</v>
      </c>
      <c r="C24"/>
      <c r="D24" t="s">
        <v>400</v>
      </c>
    </row>
    <row r="25" spans="1:4">
      <c r="A25" t="s">
        <v>401</v>
      </c>
      <c r="B25" t="s">
        <v>402</v>
      </c>
      <c r="C25"/>
      <c r="D25" t="s">
        <v>403</v>
      </c>
    </row>
    <row r="26" spans="1:4">
      <c r="A26" t="s">
        <v>404</v>
      </c>
      <c r="B26" t="s">
        <v>405</v>
      </c>
      <c r="C26"/>
      <c r="D26" t="s">
        <v>406</v>
      </c>
    </row>
    <row r="27" spans="1:4">
      <c r="A27" t="s">
        <v>407</v>
      </c>
      <c r="B27" t="s">
        <v>408</v>
      </c>
      <c r="C27"/>
      <c r="D27" t="s">
        <v>409</v>
      </c>
    </row>
    <row r="28" spans="1:4">
      <c r="A28" t="s">
        <v>410</v>
      </c>
      <c r="B28" t="s">
        <v>411</v>
      </c>
      <c r="C28"/>
      <c r="D28" t="s">
        <v>412</v>
      </c>
    </row>
    <row r="29" spans="1:4">
      <c r="A29" t="s">
        <v>413</v>
      </c>
      <c r="B29" t="s">
        <v>414</v>
      </c>
      <c r="C29"/>
      <c r="D29" t="s">
        <v>415</v>
      </c>
    </row>
    <row r="30" spans="1:4">
      <c r="A30" t="s">
        <v>416</v>
      </c>
      <c r="B30" t="s">
        <v>417</v>
      </c>
      <c r="C30"/>
      <c r="D30" t="s">
        <v>418</v>
      </c>
    </row>
    <row r="31" spans="1:4">
      <c r="A31" t="s">
        <v>419</v>
      </c>
      <c r="B31" t="s">
        <v>420</v>
      </c>
      <c r="C31"/>
      <c r="D31" t="s">
        <v>421</v>
      </c>
    </row>
    <row r="32" spans="1:4">
      <c r="A32" t="s">
        <v>422</v>
      </c>
      <c r="B32" t="s">
        <v>423</v>
      </c>
      <c r="C32"/>
      <c r="D32" t="s">
        <v>424</v>
      </c>
    </row>
    <row r="33" spans="1:4">
      <c r="A33" t="s">
        <v>425</v>
      </c>
      <c r="B33" t="s">
        <v>426</v>
      </c>
      <c r="C33"/>
      <c r="D33" t="s">
        <v>427</v>
      </c>
    </row>
    <row r="34" spans="1:4">
      <c r="A34" t="s">
        <v>428</v>
      </c>
      <c r="B34" t="s">
        <v>429</v>
      </c>
      <c r="C34"/>
      <c r="D34" t="s">
        <v>430</v>
      </c>
    </row>
    <row r="35" spans="1:4">
      <c r="A35" t="s">
        <v>431</v>
      </c>
      <c r="B35" t="s">
        <v>432</v>
      </c>
      <c r="C35"/>
      <c r="D35" t="s">
        <v>433</v>
      </c>
    </row>
    <row r="36" spans="1:4">
      <c r="A36" t="s">
        <v>434</v>
      </c>
      <c r="B36" t="s">
        <v>435</v>
      </c>
      <c r="C36"/>
      <c r="D36" t="s">
        <v>436</v>
      </c>
    </row>
    <row r="37" spans="1:4">
      <c r="A37" t="s">
        <v>437</v>
      </c>
      <c r="B37" t="s">
        <v>438</v>
      </c>
      <c r="C37"/>
      <c r="D37" t="s">
        <v>439</v>
      </c>
    </row>
    <row r="38" spans="1:4">
      <c r="A38" t="s">
        <v>440</v>
      </c>
      <c r="B38" t="s">
        <v>441</v>
      </c>
      <c r="C38"/>
      <c r="D38" t="s">
        <v>442</v>
      </c>
    </row>
    <row r="39" spans="1:4">
      <c r="A39" t="s">
        <v>443</v>
      </c>
      <c r="B39" t="s">
        <v>444</v>
      </c>
      <c r="C39"/>
      <c r="D39" t="s">
        <v>445</v>
      </c>
    </row>
    <row r="40" spans="1:4">
      <c r="A40" t="s">
        <v>446</v>
      </c>
      <c r="B40" t="s">
        <v>447</v>
      </c>
      <c r="C40"/>
      <c r="D40" t="s">
        <v>448</v>
      </c>
    </row>
    <row r="41" spans="1:4">
      <c r="A41" t="s">
        <v>449</v>
      </c>
      <c r="B41" t="s">
        <v>450</v>
      </c>
      <c r="C41"/>
      <c r="D41" t="s">
        <v>451</v>
      </c>
    </row>
    <row r="42" spans="1:4">
      <c r="A42" t="s">
        <v>452</v>
      </c>
      <c r="B42" t="s">
        <v>453</v>
      </c>
      <c r="C42"/>
      <c r="D42" t="s">
        <v>454</v>
      </c>
    </row>
    <row r="43" spans="1:4">
      <c r="A43" t="s">
        <v>455</v>
      </c>
      <c r="B43" t="s">
        <v>456</v>
      </c>
      <c r="C43"/>
      <c r="D43" t="s">
        <v>457</v>
      </c>
    </row>
    <row r="44" spans="1:4">
      <c r="A44" t="s">
        <v>458</v>
      </c>
      <c r="B44" t="s">
        <v>459</v>
      </c>
      <c r="C44"/>
      <c r="D44" t="s">
        <v>460</v>
      </c>
    </row>
    <row r="45" spans="1:4">
      <c r="A45" t="s">
        <v>461</v>
      </c>
      <c r="B45" t="s">
        <v>462</v>
      </c>
      <c r="C45"/>
      <c r="D45" t="s">
        <v>463</v>
      </c>
    </row>
    <row r="46" spans="1:4">
      <c r="A46" t="s">
        <v>464</v>
      </c>
      <c r="B46" t="s">
        <v>465</v>
      </c>
      <c r="C46"/>
      <c r="D46" t="s">
        <v>466</v>
      </c>
    </row>
    <row r="47" spans="1:4">
      <c r="A47" t="s">
        <v>467</v>
      </c>
      <c r="B47" t="s">
        <v>468</v>
      </c>
      <c r="C47"/>
      <c r="D47" t="s">
        <v>469</v>
      </c>
    </row>
    <row r="48" spans="1:4">
      <c r="A48" t="s">
        <v>470</v>
      </c>
      <c r="B48" t="s">
        <v>471</v>
      </c>
      <c r="C48"/>
      <c r="D48" t="s">
        <v>472</v>
      </c>
    </row>
    <row r="49" spans="1:4">
      <c r="A49" t="s">
        <v>473</v>
      </c>
      <c r="B49" t="s">
        <v>474</v>
      </c>
      <c r="C49"/>
      <c r="D49" t="s">
        <v>475</v>
      </c>
    </row>
    <row r="50" spans="1:4">
      <c r="A50" t="s">
        <v>476</v>
      </c>
      <c r="B50" t="s">
        <v>477</v>
      </c>
      <c r="C50"/>
      <c r="D50" t="s">
        <v>478</v>
      </c>
    </row>
    <row r="51" spans="1:4">
      <c r="A51" t="s">
        <v>479</v>
      </c>
      <c r="B51" t="s">
        <v>480</v>
      </c>
      <c r="C51"/>
      <c r="D51" t="s">
        <v>481</v>
      </c>
    </row>
    <row r="52" spans="1:4">
      <c r="A52" t="s">
        <v>482</v>
      </c>
      <c r="B52" t="s">
        <v>483</v>
      </c>
      <c r="C52"/>
      <c r="D52" t="s">
        <v>484</v>
      </c>
    </row>
    <row r="53" spans="1:4">
      <c r="A53" t="s">
        <v>485</v>
      </c>
      <c r="B53" t="s">
        <v>486</v>
      </c>
      <c r="C53"/>
      <c r="D53" t="s">
        <v>487</v>
      </c>
    </row>
    <row r="54" spans="1:4">
      <c r="A54" t="s">
        <v>488</v>
      </c>
      <c r="B54" t="s">
        <v>489</v>
      </c>
      <c r="C54"/>
      <c r="D54" t="s">
        <v>490</v>
      </c>
    </row>
    <row r="55" spans="1:4">
      <c r="A55" t="s">
        <v>491</v>
      </c>
      <c r="B55" t="s">
        <v>492</v>
      </c>
      <c r="C55"/>
      <c r="D55" t="s">
        <v>493</v>
      </c>
    </row>
    <row r="56" spans="1:4">
      <c r="A56" t="s">
        <v>494</v>
      </c>
      <c r="B56" t="s">
        <v>495</v>
      </c>
      <c r="C56"/>
      <c r="D56" t="s">
        <v>496</v>
      </c>
    </row>
    <row r="57" spans="1:4">
      <c r="A57" t="s">
        <v>497</v>
      </c>
      <c r="B57" t="s">
        <v>498</v>
      </c>
      <c r="C57"/>
      <c r="D57" t="s">
        <v>499</v>
      </c>
    </row>
    <row r="58" spans="1:4">
      <c r="A58" t="s">
        <v>500</v>
      </c>
      <c r="B58" t="s">
        <v>501</v>
      </c>
      <c r="C58"/>
      <c r="D58" t="s">
        <v>502</v>
      </c>
    </row>
    <row r="59" spans="1:4">
      <c r="A59" t="s">
        <v>503</v>
      </c>
      <c r="B59" t="s">
        <v>504</v>
      </c>
      <c r="C59"/>
      <c r="D59" t="s">
        <v>505</v>
      </c>
    </row>
    <row r="60" spans="1:4">
      <c r="A60" t="s">
        <v>506</v>
      </c>
      <c r="B60" t="s">
        <v>507</v>
      </c>
      <c r="C60"/>
      <c r="D60" t="s">
        <v>508</v>
      </c>
    </row>
    <row r="61" spans="1:4">
      <c r="A61" t="s">
        <v>509</v>
      </c>
      <c r="B61" t="s">
        <v>510</v>
      </c>
      <c r="C61"/>
      <c r="D61" t="s">
        <v>511</v>
      </c>
    </row>
    <row r="62" spans="1:4">
      <c r="A62" t="s">
        <v>512</v>
      </c>
      <c r="B62" t="s">
        <v>513</v>
      </c>
      <c r="C62"/>
      <c r="D62" t="s">
        <v>514</v>
      </c>
    </row>
    <row r="63" spans="1:4">
      <c r="A63" t="s">
        <v>515</v>
      </c>
      <c r="B63" t="s">
        <v>516</v>
      </c>
      <c r="C63"/>
      <c r="D63" t="s">
        <v>517</v>
      </c>
    </row>
    <row r="64" spans="1:4">
      <c r="A64" t="s">
        <v>518</v>
      </c>
      <c r="B64" t="s">
        <v>519</v>
      </c>
      <c r="C64"/>
      <c r="D64" t="s">
        <v>520</v>
      </c>
    </row>
    <row r="65" spans="1:4">
      <c r="A65" t="s">
        <v>521</v>
      </c>
      <c r="B65" t="s">
        <v>522</v>
      </c>
      <c r="C65"/>
      <c r="D65" t="s">
        <v>523</v>
      </c>
    </row>
    <row r="66" spans="1:4">
      <c r="A66" t="s">
        <v>524</v>
      </c>
      <c r="B66" t="s">
        <v>525</v>
      </c>
      <c r="C66"/>
      <c r="D66" t="s">
        <v>526</v>
      </c>
    </row>
    <row r="67" spans="1:4">
      <c r="A67" t="s">
        <v>527</v>
      </c>
      <c r="B67" t="s">
        <v>528</v>
      </c>
      <c r="C67"/>
      <c r="D67" t="s">
        <v>529</v>
      </c>
    </row>
    <row r="68" spans="1:4">
      <c r="A68" t="s">
        <v>530</v>
      </c>
      <c r="B68" t="s">
        <v>531</v>
      </c>
      <c r="C68"/>
      <c r="D68" t="s">
        <v>532</v>
      </c>
    </row>
    <row r="69" spans="1:4">
      <c r="A69" t="s">
        <v>533</v>
      </c>
      <c r="B69" t="s">
        <v>534</v>
      </c>
      <c r="C69"/>
      <c r="D69" t="s">
        <v>535</v>
      </c>
    </row>
    <row r="70" spans="1:4">
      <c r="A70" t="s">
        <v>536</v>
      </c>
      <c r="B70" t="s">
        <v>537</v>
      </c>
      <c r="C70"/>
      <c r="D70" t="s">
        <v>538</v>
      </c>
    </row>
    <row r="71" spans="1:4">
      <c r="A71" t="s">
        <v>539</v>
      </c>
      <c r="B71" t="s">
        <v>540</v>
      </c>
      <c r="C71"/>
      <c r="D71" t="s">
        <v>541</v>
      </c>
    </row>
    <row r="72" spans="1:4">
      <c r="A72" t="s">
        <v>542</v>
      </c>
      <c r="B72" t="s">
        <v>543</v>
      </c>
      <c r="C72"/>
      <c r="D72" t="s">
        <v>544</v>
      </c>
    </row>
    <row r="73" spans="1:4">
      <c r="A73" t="s">
        <v>545</v>
      </c>
      <c r="B73" t="s">
        <v>546</v>
      </c>
      <c r="C73"/>
      <c r="D73" t="s">
        <v>547</v>
      </c>
    </row>
    <row r="74" spans="1:4">
      <c r="A74" t="s">
        <v>548</v>
      </c>
      <c r="B74" t="s">
        <v>549</v>
      </c>
      <c r="C74"/>
      <c r="D74" t="s">
        <v>550</v>
      </c>
    </row>
    <row r="75" spans="1:4">
      <c r="A75" t="s">
        <v>551</v>
      </c>
      <c r="B75" t="s">
        <v>552</v>
      </c>
      <c r="C75"/>
      <c r="D75" t="s">
        <v>553</v>
      </c>
    </row>
    <row r="76" spans="1:4">
      <c r="A76" t="s">
        <v>554</v>
      </c>
      <c r="B76" t="s">
        <v>555</v>
      </c>
      <c r="C76"/>
      <c r="D76" t="s">
        <v>556</v>
      </c>
    </row>
    <row r="77" spans="1:4">
      <c r="A77" t="s">
        <v>557</v>
      </c>
      <c r="B77" t="s">
        <v>558</v>
      </c>
      <c r="C77"/>
      <c r="D77" t="s">
        <v>559</v>
      </c>
    </row>
    <row r="78" spans="1:4">
      <c r="A78" t="s">
        <v>560</v>
      </c>
      <c r="B78" t="s">
        <v>561</v>
      </c>
      <c r="C78"/>
      <c r="D78" t="s">
        <v>562</v>
      </c>
    </row>
    <row r="79" spans="1:4">
      <c r="A79" t="s">
        <v>563</v>
      </c>
      <c r="B79" t="s">
        <v>564</v>
      </c>
      <c r="C79"/>
      <c r="D79" t="s">
        <v>565</v>
      </c>
    </row>
    <row r="80" spans="1:4">
      <c r="A80" t="s">
        <v>566</v>
      </c>
      <c r="B80" t="s">
        <v>567</v>
      </c>
      <c r="C80"/>
      <c r="D80" t="s">
        <v>568</v>
      </c>
    </row>
    <row r="81" spans="1:4">
      <c r="A81" t="s">
        <v>569</v>
      </c>
      <c r="B81" t="s">
        <v>570</v>
      </c>
      <c r="C81"/>
      <c r="D81" t="s">
        <v>571</v>
      </c>
    </row>
    <row r="82" spans="1:4">
      <c r="A82" t="s">
        <v>572</v>
      </c>
      <c r="B82" t="s">
        <v>573</v>
      </c>
      <c r="C82"/>
      <c r="D82" t="s">
        <v>574</v>
      </c>
    </row>
    <row r="83" spans="1:4">
      <c r="A83" t="s">
        <v>575</v>
      </c>
      <c r="B83" t="s">
        <v>576</v>
      </c>
      <c r="C83"/>
      <c r="D83" t="s">
        <v>577</v>
      </c>
    </row>
    <row r="84" spans="1:4">
      <c r="A84" t="s">
        <v>578</v>
      </c>
      <c r="B84" t="s">
        <v>579</v>
      </c>
      <c r="C84"/>
      <c r="D84" t="s">
        <v>580</v>
      </c>
    </row>
    <row r="85" spans="1:4">
      <c r="A85" t="s">
        <v>581</v>
      </c>
      <c r="B85" t="s">
        <v>581</v>
      </c>
      <c r="C85"/>
      <c r="D85" t="s">
        <v>582</v>
      </c>
    </row>
    <row r="86" spans="1:4">
      <c r="A86" t="s">
        <v>583</v>
      </c>
      <c r="B86" t="s">
        <v>584</v>
      </c>
      <c r="C86"/>
      <c r="D86" t="s">
        <v>585</v>
      </c>
    </row>
    <row r="87" spans="1:4">
      <c r="A87" t="s">
        <v>586</v>
      </c>
      <c r="B87" t="s">
        <v>587</v>
      </c>
      <c r="C87"/>
      <c r="D87" t="s">
        <v>588</v>
      </c>
    </row>
    <row r="88" spans="1:4">
      <c r="A88" t="s">
        <v>589</v>
      </c>
      <c r="B88" t="s">
        <v>590</v>
      </c>
      <c r="C88"/>
      <c r="D88" t="s">
        <v>591</v>
      </c>
    </row>
  </sheetData>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0AD86-3BE6-4FFC-A87D-61E990352FAE}">
  <dimension ref="A1:M20"/>
  <sheetViews>
    <sheetView topLeftCell="A19" zoomScale="142" workbookViewId="0">
      <selection activeCell="B21" sqref="B21"/>
    </sheetView>
  </sheetViews>
  <sheetFormatPr defaultColWidth="9.140625" defaultRowHeight="15"/>
  <cols>
    <col min="1" max="1" width="32" style="7" customWidth="1"/>
    <col min="2" max="2" width="52.42578125" style="7" customWidth="1"/>
    <col min="3" max="3" width="15.85546875" customWidth="1"/>
    <col min="4" max="4" width="72.140625" customWidth="1"/>
    <col min="6" max="6" width="0" hidden="1" customWidth="1"/>
    <col min="7" max="7" width="9.140625" bestFit="1" customWidth="1"/>
    <col min="8" max="8" width="0" hidden="1" customWidth="1"/>
    <col min="12" max="12" width="22.140625" customWidth="1"/>
    <col min="13" max="13" width="24.42578125" customWidth="1"/>
  </cols>
  <sheetData>
    <row r="1" spans="1:13" s="3" customFormat="1">
      <c r="A1" s="35" t="s">
        <v>592</v>
      </c>
      <c r="B1" s="32" t="s">
        <v>593</v>
      </c>
      <c r="C1" s="3" t="s">
        <v>594</v>
      </c>
      <c r="D1" s="3" t="s">
        <v>595</v>
      </c>
      <c r="E1" s="3" t="s">
        <v>596</v>
      </c>
      <c r="F1" s="3" t="s">
        <v>597</v>
      </c>
      <c r="G1" s="3" t="s">
        <v>598</v>
      </c>
      <c r="H1" s="3" t="s">
        <v>599</v>
      </c>
      <c r="I1" s="3" t="s">
        <v>600</v>
      </c>
      <c r="J1" s="3" t="s">
        <v>21</v>
      </c>
      <c r="L1" s="3" t="s">
        <v>601</v>
      </c>
      <c r="M1" s="3" t="s">
        <v>602</v>
      </c>
    </row>
    <row r="2" spans="1:13" ht="45" customHeight="1">
      <c r="A2" s="7" t="s">
        <v>202</v>
      </c>
      <c r="B2" s="7" t="s">
        <v>603</v>
      </c>
      <c r="C2" t="s">
        <v>594</v>
      </c>
      <c r="D2" t="s">
        <v>604</v>
      </c>
      <c r="E2" t="s">
        <v>605</v>
      </c>
      <c r="G2" t="s">
        <v>606</v>
      </c>
      <c r="I2" t="s">
        <v>600</v>
      </c>
      <c r="L2" s="7" t="s">
        <v>607</v>
      </c>
      <c r="M2" s="7" t="s">
        <v>608</v>
      </c>
    </row>
    <row r="3" spans="1:13" ht="305.25">
      <c r="A3" s="7" t="s">
        <v>609</v>
      </c>
      <c r="B3" s="7" t="s">
        <v>610</v>
      </c>
      <c r="C3" t="s">
        <v>594</v>
      </c>
      <c r="D3" t="s">
        <v>604</v>
      </c>
      <c r="E3" t="s">
        <v>611</v>
      </c>
      <c r="G3" t="s">
        <v>606</v>
      </c>
      <c r="I3" t="s">
        <v>600</v>
      </c>
    </row>
    <row r="4" spans="1:13" ht="305.25">
      <c r="A4" t="s">
        <v>218</v>
      </c>
      <c r="B4" s="7" t="s">
        <v>612</v>
      </c>
      <c r="C4" t="s">
        <v>594</v>
      </c>
      <c r="D4" t="s">
        <v>604</v>
      </c>
      <c r="E4" s="27" t="s">
        <v>613</v>
      </c>
      <c r="G4" t="s">
        <v>606</v>
      </c>
      <c r="I4" t="s">
        <v>600</v>
      </c>
    </row>
    <row r="5" spans="1:13" ht="305.25">
      <c r="A5" s="7" t="s">
        <v>224</v>
      </c>
      <c r="B5" s="7" t="s">
        <v>614</v>
      </c>
      <c r="C5" t="s">
        <v>594</v>
      </c>
      <c r="D5" t="s">
        <v>604</v>
      </c>
      <c r="E5" t="s">
        <v>615</v>
      </c>
      <c r="G5" t="s">
        <v>606</v>
      </c>
      <c r="I5" t="s">
        <v>600</v>
      </c>
    </row>
    <row r="6" spans="1:13" ht="336">
      <c r="A6" s="7" t="s">
        <v>231</v>
      </c>
      <c r="B6" s="7" t="s">
        <v>616</v>
      </c>
      <c r="C6" t="s">
        <v>594</v>
      </c>
      <c r="D6" t="s">
        <v>604</v>
      </c>
      <c r="E6" t="s">
        <v>617</v>
      </c>
      <c r="G6" t="s">
        <v>606</v>
      </c>
      <c r="I6" t="s">
        <v>600</v>
      </c>
    </row>
    <row r="7" spans="1:13" ht="121.5">
      <c r="A7" s="7" t="s">
        <v>241</v>
      </c>
      <c r="C7" t="s">
        <v>594</v>
      </c>
      <c r="D7" t="s">
        <v>604</v>
      </c>
      <c r="E7" t="s">
        <v>618</v>
      </c>
      <c r="G7" t="s">
        <v>606</v>
      </c>
      <c r="I7" t="s">
        <v>600</v>
      </c>
    </row>
    <row r="8" spans="1:13" ht="290.25">
      <c r="A8" s="7" t="s">
        <v>245</v>
      </c>
      <c r="B8" s="7" t="s">
        <v>619</v>
      </c>
      <c r="C8" t="s">
        <v>594</v>
      </c>
      <c r="D8" t="s">
        <v>604</v>
      </c>
      <c r="E8" t="s">
        <v>620</v>
      </c>
      <c r="G8" t="s">
        <v>606</v>
      </c>
      <c r="I8" t="s">
        <v>600</v>
      </c>
    </row>
    <row r="9" spans="1:13" ht="336">
      <c r="A9" s="7" t="s">
        <v>252</v>
      </c>
      <c r="B9" s="7" t="s">
        <v>621</v>
      </c>
      <c r="C9" t="s">
        <v>594</v>
      </c>
      <c r="D9" t="s">
        <v>604</v>
      </c>
      <c r="E9" t="s">
        <v>622</v>
      </c>
      <c r="G9" t="s">
        <v>606</v>
      </c>
      <c r="I9" t="s">
        <v>600</v>
      </c>
    </row>
    <row r="10" spans="1:13" ht="336">
      <c r="A10" s="7" t="s">
        <v>258</v>
      </c>
      <c r="B10" s="7" t="s">
        <v>623</v>
      </c>
      <c r="C10" t="s">
        <v>594</v>
      </c>
      <c r="D10" t="s">
        <v>624</v>
      </c>
      <c r="E10" t="s">
        <v>625</v>
      </c>
      <c r="G10" t="s">
        <v>606</v>
      </c>
      <c r="I10" t="s">
        <v>600</v>
      </c>
    </row>
    <row r="11" spans="1:13" ht="321">
      <c r="A11" t="s">
        <v>262</v>
      </c>
      <c r="B11" s="7" t="s">
        <v>626</v>
      </c>
      <c r="C11" t="s">
        <v>594</v>
      </c>
      <c r="D11" t="s">
        <v>627</v>
      </c>
      <c r="E11" t="s">
        <v>628</v>
      </c>
      <c r="G11" t="s">
        <v>606</v>
      </c>
      <c r="I11" t="s">
        <v>600</v>
      </c>
    </row>
    <row r="12" spans="1:13" ht="305.25">
      <c r="A12" s="7" t="s">
        <v>266</v>
      </c>
      <c r="B12" s="7" t="s">
        <v>629</v>
      </c>
      <c r="C12" t="s">
        <v>594</v>
      </c>
      <c r="D12" t="s">
        <v>627</v>
      </c>
      <c r="E12" t="s">
        <v>630</v>
      </c>
      <c r="G12" t="s">
        <v>606</v>
      </c>
      <c r="I12" t="s">
        <v>600</v>
      </c>
    </row>
    <row r="13" spans="1:13" ht="336">
      <c r="A13" s="7" t="s">
        <v>270</v>
      </c>
      <c r="B13" s="7" t="s">
        <v>631</v>
      </c>
      <c r="C13" t="s">
        <v>594</v>
      </c>
      <c r="D13" t="s">
        <v>627</v>
      </c>
      <c r="E13" t="s">
        <v>632</v>
      </c>
      <c r="G13" t="s">
        <v>606</v>
      </c>
      <c r="I13" t="s">
        <v>600</v>
      </c>
    </row>
    <row r="14" spans="1:13" ht="366">
      <c r="A14" s="7" t="s">
        <v>274</v>
      </c>
      <c r="B14" s="7" t="s">
        <v>633</v>
      </c>
      <c r="C14" t="s">
        <v>594</v>
      </c>
      <c r="D14" t="s">
        <v>627</v>
      </c>
      <c r="E14" t="s">
        <v>634</v>
      </c>
      <c r="G14" t="s">
        <v>606</v>
      </c>
      <c r="I14" t="s">
        <v>600</v>
      </c>
    </row>
    <row r="15" spans="1:13" ht="351">
      <c r="A15" s="7" t="s">
        <v>277</v>
      </c>
      <c r="B15" s="7" t="s">
        <v>635</v>
      </c>
      <c r="C15" t="s">
        <v>594</v>
      </c>
      <c r="D15" t="s">
        <v>627</v>
      </c>
      <c r="E15" t="s">
        <v>636</v>
      </c>
      <c r="G15" t="s">
        <v>606</v>
      </c>
      <c r="I15" t="s">
        <v>600</v>
      </c>
    </row>
    <row r="16" spans="1:13" ht="290.25">
      <c r="B16" s="7" t="s">
        <v>637</v>
      </c>
      <c r="C16" t="s">
        <v>594</v>
      </c>
      <c r="D16" t="s">
        <v>627</v>
      </c>
      <c r="E16" t="s">
        <v>638</v>
      </c>
      <c r="G16" t="s">
        <v>606</v>
      </c>
      <c r="I16" t="s">
        <v>600</v>
      </c>
    </row>
    <row r="17" spans="2:9" ht="305.25">
      <c r="B17" s="7" t="s">
        <v>639</v>
      </c>
      <c r="C17" t="s">
        <v>594</v>
      </c>
      <c r="D17" t="s">
        <v>627</v>
      </c>
      <c r="E17" t="s">
        <v>640</v>
      </c>
      <c r="G17" t="s">
        <v>606</v>
      </c>
      <c r="I17" t="s">
        <v>600</v>
      </c>
    </row>
    <row r="18" spans="2:9" ht="290.25">
      <c r="B18" s="7" t="s">
        <v>641</v>
      </c>
      <c r="C18" t="s">
        <v>594</v>
      </c>
      <c r="D18" t="s">
        <v>627</v>
      </c>
      <c r="E18" t="s">
        <v>642</v>
      </c>
      <c r="G18" t="s">
        <v>606</v>
      </c>
      <c r="I18" t="s">
        <v>600</v>
      </c>
    </row>
    <row r="19" spans="2:9" ht="290.25">
      <c r="B19" s="7" t="s">
        <v>643</v>
      </c>
    </row>
    <row r="20" spans="2:9" ht="290.25">
      <c r="B20" s="7" t="s">
        <v>644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68CA4-50CF-4911-8268-FB3D9D2E474C}">
  <dimension ref="A1:D51"/>
  <sheetViews>
    <sheetView workbookViewId="0">
      <selection activeCell="E3" sqref="E3"/>
    </sheetView>
  </sheetViews>
  <sheetFormatPr defaultColWidth="8.85546875" defaultRowHeight="15"/>
  <cols>
    <col min="1" max="1" width="28.140625" customWidth="1"/>
    <col min="2" max="2" width="20.85546875" customWidth="1"/>
    <col min="3" max="3" width="35.85546875" customWidth="1"/>
  </cols>
  <sheetData>
    <row r="1" spans="1:4" s="3" customFormat="1">
      <c r="A1" s="3" t="s">
        <v>195</v>
      </c>
      <c r="B1" s="3" t="s">
        <v>645</v>
      </c>
      <c r="C1" s="3" t="s">
        <v>323</v>
      </c>
      <c r="D1" s="3" t="s">
        <v>646</v>
      </c>
    </row>
    <row r="2" spans="1:4">
      <c r="A2" t="s">
        <v>647</v>
      </c>
      <c r="B2" t="s">
        <v>648</v>
      </c>
      <c r="C2" t="s">
        <v>329</v>
      </c>
      <c r="D2" t="s">
        <v>649</v>
      </c>
    </row>
    <row r="3" spans="1:4">
      <c r="A3" t="s">
        <v>650</v>
      </c>
      <c r="B3" t="s">
        <v>651</v>
      </c>
      <c r="C3" t="s">
        <v>333</v>
      </c>
      <c r="D3" t="s">
        <v>652</v>
      </c>
    </row>
    <row r="4" spans="1:4">
      <c r="A4" t="s">
        <v>653</v>
      </c>
      <c r="B4" t="s">
        <v>654</v>
      </c>
      <c r="C4" t="s">
        <v>655</v>
      </c>
      <c r="D4" t="s">
        <v>656</v>
      </c>
    </row>
    <row r="5" spans="1:4">
      <c r="A5" t="s">
        <v>657</v>
      </c>
      <c r="B5" t="s">
        <v>658</v>
      </c>
      <c r="C5" t="s">
        <v>333</v>
      </c>
      <c r="D5" t="s">
        <v>659</v>
      </c>
    </row>
    <row r="6" spans="1:4">
      <c r="A6" t="s">
        <v>660</v>
      </c>
      <c r="B6" t="s">
        <v>661</v>
      </c>
      <c r="C6" t="s">
        <v>353</v>
      </c>
      <c r="D6" t="s">
        <v>662</v>
      </c>
    </row>
    <row r="7" spans="1:4">
      <c r="A7" t="s">
        <v>663</v>
      </c>
      <c r="B7" t="s">
        <v>664</v>
      </c>
      <c r="C7" t="s">
        <v>346</v>
      </c>
      <c r="D7" t="s">
        <v>665</v>
      </c>
    </row>
    <row r="8" spans="1:4">
      <c r="A8" t="s">
        <v>666</v>
      </c>
      <c r="B8" t="s">
        <v>667</v>
      </c>
      <c r="C8" t="s">
        <v>346</v>
      </c>
      <c r="D8" t="s">
        <v>668</v>
      </c>
    </row>
    <row r="9" spans="1:4">
      <c r="A9" t="s">
        <v>669</v>
      </c>
      <c r="B9" t="s">
        <v>670</v>
      </c>
      <c r="C9" t="s">
        <v>671</v>
      </c>
      <c r="D9" t="s">
        <v>672</v>
      </c>
    </row>
    <row r="10" spans="1:4">
      <c r="A10" t="s">
        <v>673</v>
      </c>
      <c r="B10" t="s">
        <v>674</v>
      </c>
      <c r="C10" t="s">
        <v>346</v>
      </c>
      <c r="D10" t="s">
        <v>675</v>
      </c>
    </row>
    <row r="11" spans="1:4">
      <c r="A11" t="s">
        <v>676</v>
      </c>
      <c r="B11" t="s">
        <v>677</v>
      </c>
      <c r="C11" t="s">
        <v>678</v>
      </c>
      <c r="D11" t="s">
        <v>679</v>
      </c>
    </row>
    <row r="12" spans="1:4">
      <c r="A12" t="s">
        <v>680</v>
      </c>
      <c r="B12" t="s">
        <v>681</v>
      </c>
      <c r="C12" t="s">
        <v>357</v>
      </c>
      <c r="D12" t="s">
        <v>682</v>
      </c>
    </row>
    <row r="13" spans="1:4">
      <c r="A13" t="s">
        <v>683</v>
      </c>
      <c r="B13" t="s">
        <v>684</v>
      </c>
      <c r="C13" t="s">
        <v>685</v>
      </c>
      <c r="D13" t="s">
        <v>686</v>
      </c>
    </row>
    <row r="14" spans="1:4">
      <c r="A14" t="s">
        <v>687</v>
      </c>
      <c r="B14" t="s">
        <v>688</v>
      </c>
      <c r="C14" t="s">
        <v>689</v>
      </c>
      <c r="D14" t="s">
        <v>690</v>
      </c>
    </row>
    <row r="15" spans="1:4">
      <c r="A15" t="s">
        <v>691</v>
      </c>
      <c r="B15" t="s">
        <v>692</v>
      </c>
      <c r="C15" t="s">
        <v>693</v>
      </c>
      <c r="D15" t="s">
        <v>694</v>
      </c>
    </row>
    <row r="16" spans="1:4">
      <c r="A16" t="s">
        <v>695</v>
      </c>
      <c r="B16" t="s">
        <v>696</v>
      </c>
      <c r="C16" t="s">
        <v>333</v>
      </c>
      <c r="D16" t="s">
        <v>697</v>
      </c>
    </row>
    <row r="17" spans="1:4">
      <c r="A17" t="s">
        <v>698</v>
      </c>
      <c r="B17" t="s">
        <v>699</v>
      </c>
      <c r="C17" t="s">
        <v>700</v>
      </c>
      <c r="D17" t="s">
        <v>701</v>
      </c>
    </row>
    <row r="18" spans="1:4">
      <c r="A18" t="s">
        <v>702</v>
      </c>
      <c r="B18" t="s">
        <v>703</v>
      </c>
      <c r="C18" t="s">
        <v>333</v>
      </c>
      <c r="D18" t="s">
        <v>704</v>
      </c>
    </row>
    <row r="19" spans="1:4">
      <c r="A19" t="s">
        <v>705</v>
      </c>
      <c r="B19" t="s">
        <v>706</v>
      </c>
      <c r="C19" t="s">
        <v>357</v>
      </c>
      <c r="D19" t="s">
        <v>707</v>
      </c>
    </row>
    <row r="20" spans="1:4">
      <c r="A20" t="s">
        <v>708</v>
      </c>
      <c r="B20" t="s">
        <v>709</v>
      </c>
      <c r="C20" t="s">
        <v>353</v>
      </c>
      <c r="D20" t="s">
        <v>710</v>
      </c>
    </row>
    <row r="21" spans="1:4">
      <c r="A21" t="s">
        <v>711</v>
      </c>
      <c r="B21" t="s">
        <v>712</v>
      </c>
      <c r="C21" t="s">
        <v>713</v>
      </c>
      <c r="D21" t="s">
        <v>714</v>
      </c>
    </row>
    <row r="22" spans="1:4">
      <c r="A22" t="s">
        <v>715</v>
      </c>
      <c r="B22" t="s">
        <v>716</v>
      </c>
      <c r="C22" t="s">
        <v>333</v>
      </c>
      <c r="D22" t="s">
        <v>717</v>
      </c>
    </row>
    <row r="23" spans="1:4">
      <c r="A23" t="s">
        <v>718</v>
      </c>
      <c r="B23" t="s">
        <v>719</v>
      </c>
      <c r="C23" t="s">
        <v>333</v>
      </c>
      <c r="D23" t="s">
        <v>720</v>
      </c>
    </row>
    <row r="24" spans="1:4">
      <c r="A24" t="s">
        <v>721</v>
      </c>
      <c r="B24" t="s">
        <v>722</v>
      </c>
      <c r="C24" t="s">
        <v>346</v>
      </c>
      <c r="D24" t="s">
        <v>723</v>
      </c>
    </row>
    <row r="25" spans="1:4">
      <c r="A25" t="s">
        <v>724</v>
      </c>
      <c r="B25" t="s">
        <v>725</v>
      </c>
      <c r="C25" t="s">
        <v>685</v>
      </c>
      <c r="D25" t="s">
        <v>726</v>
      </c>
    </row>
    <row r="26" spans="1:4">
      <c r="A26" t="s">
        <v>727</v>
      </c>
      <c r="B26" t="s">
        <v>728</v>
      </c>
      <c r="C26" t="s">
        <v>693</v>
      </c>
      <c r="D26" t="s">
        <v>729</v>
      </c>
    </row>
    <row r="27" spans="1:4">
      <c r="A27" t="s">
        <v>730</v>
      </c>
      <c r="B27" t="s">
        <v>731</v>
      </c>
      <c r="C27" t="s">
        <v>713</v>
      </c>
      <c r="D27" t="s">
        <v>732</v>
      </c>
    </row>
    <row r="28" spans="1:4">
      <c r="A28" t="s">
        <v>733</v>
      </c>
      <c r="B28" t="s">
        <v>734</v>
      </c>
      <c r="C28" t="s">
        <v>685</v>
      </c>
      <c r="D28" t="s">
        <v>735</v>
      </c>
    </row>
    <row r="29" spans="1:4">
      <c r="A29" t="s">
        <v>736</v>
      </c>
      <c r="B29" t="s">
        <v>737</v>
      </c>
      <c r="C29" t="s">
        <v>357</v>
      </c>
      <c r="D29" t="s">
        <v>738</v>
      </c>
    </row>
    <row r="30" spans="1:4">
      <c r="A30" t="s">
        <v>739</v>
      </c>
      <c r="B30" t="s">
        <v>740</v>
      </c>
      <c r="C30" t="s">
        <v>346</v>
      </c>
      <c r="D30" t="s">
        <v>741</v>
      </c>
    </row>
    <row r="31" spans="1:4">
      <c r="A31" t="s">
        <v>742</v>
      </c>
      <c r="B31" t="s">
        <v>743</v>
      </c>
      <c r="C31" t="s">
        <v>346</v>
      </c>
      <c r="D31" t="s">
        <v>744</v>
      </c>
    </row>
    <row r="32" spans="1:4">
      <c r="A32" t="s">
        <v>745</v>
      </c>
      <c r="B32" t="s">
        <v>746</v>
      </c>
      <c r="C32" t="s">
        <v>747</v>
      </c>
      <c r="D32" t="s">
        <v>748</v>
      </c>
    </row>
    <row r="33" spans="1:4">
      <c r="A33" t="s">
        <v>749</v>
      </c>
      <c r="B33" t="s">
        <v>750</v>
      </c>
      <c r="C33" t="s">
        <v>346</v>
      </c>
      <c r="D33" t="s">
        <v>751</v>
      </c>
    </row>
    <row r="34" spans="1:4">
      <c r="A34" t="s">
        <v>752</v>
      </c>
      <c r="B34" t="s">
        <v>753</v>
      </c>
      <c r="C34" t="s">
        <v>685</v>
      </c>
      <c r="D34" t="s">
        <v>754</v>
      </c>
    </row>
    <row r="35" spans="1:4">
      <c r="A35" t="s">
        <v>755</v>
      </c>
      <c r="B35" t="s">
        <v>756</v>
      </c>
      <c r="C35" t="s">
        <v>685</v>
      </c>
      <c r="D35" t="s">
        <v>757</v>
      </c>
    </row>
    <row r="36" spans="1:4">
      <c r="A36" t="s">
        <v>758</v>
      </c>
      <c r="B36" t="s">
        <v>759</v>
      </c>
      <c r="C36" t="s">
        <v>760</v>
      </c>
      <c r="D36" t="s">
        <v>761</v>
      </c>
    </row>
    <row r="37" spans="1:4">
      <c r="A37" t="s">
        <v>762</v>
      </c>
      <c r="B37" t="s">
        <v>763</v>
      </c>
      <c r="C37" t="s">
        <v>764</v>
      </c>
      <c r="D37" t="s">
        <v>765</v>
      </c>
    </row>
    <row r="38" spans="1:4">
      <c r="A38" t="s">
        <v>766</v>
      </c>
      <c r="B38" t="s">
        <v>767</v>
      </c>
      <c r="C38" t="s">
        <v>768</v>
      </c>
      <c r="D38" t="s">
        <v>769</v>
      </c>
    </row>
    <row r="39" spans="1:4">
      <c r="A39" s="11" t="s">
        <v>770</v>
      </c>
      <c r="B39" t="s">
        <v>771</v>
      </c>
      <c r="C39" t="s">
        <v>357</v>
      </c>
      <c r="D39" t="s">
        <v>772</v>
      </c>
    </row>
    <row r="40" spans="1:4">
      <c r="A40" t="s">
        <v>773</v>
      </c>
      <c r="B40" t="s">
        <v>774</v>
      </c>
      <c r="C40" t="s">
        <v>329</v>
      </c>
      <c r="D40" t="s">
        <v>775</v>
      </c>
    </row>
    <row r="41" spans="1:4">
      <c r="A41" t="s">
        <v>776</v>
      </c>
      <c r="B41" t="s">
        <v>777</v>
      </c>
      <c r="C41" t="s">
        <v>333</v>
      </c>
      <c r="D41" t="s">
        <v>778</v>
      </c>
    </row>
    <row r="42" spans="1:4">
      <c r="A42" t="s">
        <v>779</v>
      </c>
      <c r="B42" t="s">
        <v>780</v>
      </c>
      <c r="C42" t="s">
        <v>346</v>
      </c>
      <c r="D42" t="s">
        <v>781</v>
      </c>
    </row>
    <row r="43" spans="1:4">
      <c r="A43" t="s">
        <v>782</v>
      </c>
      <c r="B43" t="s">
        <v>783</v>
      </c>
      <c r="C43" t="s">
        <v>329</v>
      </c>
      <c r="D43" t="s">
        <v>784</v>
      </c>
    </row>
    <row r="44" spans="1:4">
      <c r="A44" t="s">
        <v>785</v>
      </c>
      <c r="B44" t="s">
        <v>786</v>
      </c>
      <c r="C44" t="s">
        <v>768</v>
      </c>
      <c r="D44" t="s">
        <v>787</v>
      </c>
    </row>
    <row r="45" spans="1:4">
      <c r="A45" t="s">
        <v>788</v>
      </c>
      <c r="B45" t="s">
        <v>789</v>
      </c>
      <c r="C45" t="s">
        <v>768</v>
      </c>
      <c r="D45" t="s">
        <v>790</v>
      </c>
    </row>
    <row r="46" spans="1:4">
      <c r="A46" t="s">
        <v>791</v>
      </c>
      <c r="B46" t="s">
        <v>792</v>
      </c>
      <c r="C46" t="s">
        <v>747</v>
      </c>
      <c r="D46" t="s">
        <v>793</v>
      </c>
    </row>
    <row r="47" spans="1:4">
      <c r="A47" t="s">
        <v>794</v>
      </c>
      <c r="B47" t="s">
        <v>795</v>
      </c>
      <c r="C47" t="s">
        <v>685</v>
      </c>
      <c r="D47" t="s">
        <v>796</v>
      </c>
    </row>
    <row r="48" spans="1:4">
      <c r="A48" t="s">
        <v>797</v>
      </c>
      <c r="B48" t="s">
        <v>798</v>
      </c>
      <c r="C48" t="s">
        <v>333</v>
      </c>
      <c r="D48" t="s">
        <v>799</v>
      </c>
    </row>
    <row r="49" spans="1:4">
      <c r="A49" t="s">
        <v>800</v>
      </c>
      <c r="B49" t="s">
        <v>801</v>
      </c>
      <c r="C49" t="s">
        <v>329</v>
      </c>
      <c r="D49" t="s">
        <v>802</v>
      </c>
    </row>
    <row r="50" spans="1:4">
      <c r="A50" t="s">
        <v>803</v>
      </c>
      <c r="B50" t="s">
        <v>804</v>
      </c>
      <c r="C50" t="s">
        <v>768</v>
      </c>
      <c r="D50" t="s">
        <v>805</v>
      </c>
    </row>
    <row r="51" spans="1:4">
      <c r="A51" t="s">
        <v>806</v>
      </c>
      <c r="B51" t="s">
        <v>807</v>
      </c>
      <c r="C51" t="s">
        <v>333</v>
      </c>
      <c r="D51" t="s">
        <v>808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58302-A172-4083-B671-91970AD571E4}">
  <dimension ref="A1:B37"/>
  <sheetViews>
    <sheetView workbookViewId="0">
      <selection activeCell="A8" sqref="A8"/>
    </sheetView>
  </sheetViews>
  <sheetFormatPr defaultColWidth="8.85546875" defaultRowHeight="15"/>
  <cols>
    <col min="1" max="1" width="52.42578125" customWidth="1"/>
    <col min="2" max="2" width="27.140625" customWidth="1"/>
  </cols>
  <sheetData>
    <row r="1" spans="1:2" s="3" customFormat="1">
      <c r="A1" s="3" t="s">
        <v>195</v>
      </c>
      <c r="B1" s="3" t="s">
        <v>809</v>
      </c>
    </row>
    <row r="2" spans="1:2">
      <c r="A2" t="s">
        <v>810</v>
      </c>
      <c r="B2" t="s">
        <v>811</v>
      </c>
    </row>
    <row r="3" spans="1:2">
      <c r="A3" t="s">
        <v>812</v>
      </c>
      <c r="B3" t="s">
        <v>813</v>
      </c>
    </row>
    <row r="4" spans="1:2">
      <c r="A4" t="s">
        <v>814</v>
      </c>
      <c r="B4" t="s">
        <v>815</v>
      </c>
    </row>
    <row r="5" spans="1:2">
      <c r="A5" t="s">
        <v>816</v>
      </c>
      <c r="B5" t="s">
        <v>817</v>
      </c>
    </row>
    <row r="6" spans="1:2">
      <c r="A6" t="s">
        <v>818</v>
      </c>
      <c r="B6" t="s">
        <v>819</v>
      </c>
    </row>
    <row r="7" spans="1:2">
      <c r="A7" t="s">
        <v>820</v>
      </c>
      <c r="B7" t="s">
        <v>821</v>
      </c>
    </row>
    <row r="8" spans="1:2">
      <c r="A8" t="s">
        <v>822</v>
      </c>
      <c r="B8" t="s">
        <v>823</v>
      </c>
    </row>
    <row r="9" spans="1:2">
      <c r="A9" t="s">
        <v>824</v>
      </c>
      <c r="B9" t="s">
        <v>825</v>
      </c>
    </row>
    <row r="10" spans="1:2">
      <c r="A10" t="s">
        <v>826</v>
      </c>
      <c r="B10" t="s">
        <v>827</v>
      </c>
    </row>
    <row r="11" spans="1:2">
      <c r="A11" t="s">
        <v>828</v>
      </c>
      <c r="B11" t="s">
        <v>829</v>
      </c>
    </row>
    <row r="12" spans="1:2">
      <c r="A12" t="s">
        <v>830</v>
      </c>
      <c r="B12" t="s">
        <v>831</v>
      </c>
    </row>
    <row r="13" spans="1:2">
      <c r="A13" t="s">
        <v>832</v>
      </c>
      <c r="B13" t="s">
        <v>833</v>
      </c>
    </row>
    <row r="14" spans="1:2">
      <c r="A14" t="s">
        <v>834</v>
      </c>
      <c r="B14" t="s">
        <v>835</v>
      </c>
    </row>
    <row r="15" spans="1:2">
      <c r="A15" t="s">
        <v>836</v>
      </c>
      <c r="B15" t="s">
        <v>837</v>
      </c>
    </row>
    <row r="16" spans="1:2">
      <c r="A16" t="s">
        <v>838</v>
      </c>
      <c r="B16" t="s">
        <v>839</v>
      </c>
    </row>
    <row r="17" spans="1:2">
      <c r="A17" t="s">
        <v>840</v>
      </c>
      <c r="B17" t="s">
        <v>841</v>
      </c>
    </row>
    <row r="18" spans="1:2">
      <c r="A18" t="s">
        <v>842</v>
      </c>
      <c r="B18" t="s">
        <v>843</v>
      </c>
    </row>
    <row r="19" spans="1:2">
      <c r="A19" t="s">
        <v>844</v>
      </c>
      <c r="B19" t="s">
        <v>845</v>
      </c>
    </row>
    <row r="20" spans="1:2">
      <c r="A20" t="s">
        <v>846</v>
      </c>
      <c r="B20" t="s">
        <v>847</v>
      </c>
    </row>
    <row r="21" spans="1:2">
      <c r="A21" t="s">
        <v>848</v>
      </c>
      <c r="B21" t="s">
        <v>849</v>
      </c>
    </row>
    <row r="22" spans="1:2">
      <c r="A22" t="s">
        <v>850</v>
      </c>
      <c r="B22" t="s">
        <v>851</v>
      </c>
    </row>
    <row r="23" spans="1:2">
      <c r="A23" t="s">
        <v>852</v>
      </c>
      <c r="B23" t="s">
        <v>853</v>
      </c>
    </row>
    <row r="24" spans="1:2">
      <c r="A24" t="s">
        <v>854</v>
      </c>
      <c r="B24" t="s">
        <v>855</v>
      </c>
    </row>
    <row r="25" spans="1:2">
      <c r="A25" t="s">
        <v>856</v>
      </c>
      <c r="B25" t="s">
        <v>857</v>
      </c>
    </row>
    <row r="26" spans="1:2">
      <c r="A26" t="s">
        <v>858</v>
      </c>
      <c r="B26" t="s">
        <v>859</v>
      </c>
    </row>
    <row r="27" spans="1:2">
      <c r="A27" t="s">
        <v>860</v>
      </c>
      <c r="B27" t="s">
        <v>861</v>
      </c>
    </row>
    <row r="28" spans="1:2">
      <c r="A28" t="s">
        <v>862</v>
      </c>
      <c r="B28" t="s">
        <v>863</v>
      </c>
    </row>
    <row r="29" spans="1:2">
      <c r="A29" t="s">
        <v>864</v>
      </c>
      <c r="B29" t="s">
        <v>865</v>
      </c>
    </row>
    <row r="30" spans="1:2">
      <c r="A30" t="s">
        <v>866</v>
      </c>
      <c r="B30" t="s">
        <v>867</v>
      </c>
    </row>
    <row r="31" spans="1:2">
      <c r="A31" t="s">
        <v>868</v>
      </c>
      <c r="B31" t="s">
        <v>869</v>
      </c>
    </row>
    <row r="32" spans="1:2">
      <c r="A32" t="s">
        <v>870</v>
      </c>
      <c r="B32" t="s">
        <v>871</v>
      </c>
    </row>
    <row r="33" spans="1:2">
      <c r="A33" t="s">
        <v>872</v>
      </c>
      <c r="B33" t="s">
        <v>873</v>
      </c>
    </row>
    <row r="34" spans="1:2">
      <c r="A34" t="s">
        <v>874</v>
      </c>
      <c r="B34" t="s">
        <v>875</v>
      </c>
    </row>
    <row r="35" spans="1:2">
      <c r="A35" t="s">
        <v>876</v>
      </c>
      <c r="B35" t="s">
        <v>877</v>
      </c>
    </row>
    <row r="36" spans="1:2">
      <c r="A36" t="s">
        <v>878</v>
      </c>
      <c r="B36" t="s">
        <v>879</v>
      </c>
    </row>
    <row r="37" spans="1:2">
      <c r="A37" t="s">
        <v>880</v>
      </c>
      <c r="B37" t="s">
        <v>881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4EEF8-09C3-354C-9F10-3A072B29C8CB}">
  <dimension ref="A1:C4"/>
  <sheetViews>
    <sheetView workbookViewId="0">
      <selection activeCell="A2" sqref="A2"/>
    </sheetView>
  </sheetViews>
  <sheetFormatPr defaultColWidth="11.42578125" defaultRowHeight="15"/>
  <cols>
    <col min="1" max="1" width="21.42578125" customWidth="1"/>
    <col min="2" max="2" width="40.140625" customWidth="1"/>
    <col min="3" max="3" width="26.28515625" customWidth="1"/>
  </cols>
  <sheetData>
    <row r="1" spans="1:3" s="3" customFormat="1">
      <c r="A1" s="3" t="s">
        <v>882</v>
      </c>
      <c r="B1" s="3" t="s">
        <v>883</v>
      </c>
      <c r="C1" s="3" t="s">
        <v>884</v>
      </c>
    </row>
    <row r="2" spans="1:3" ht="111.95">
      <c r="A2" t="s">
        <v>885</v>
      </c>
      <c r="B2" t="s">
        <v>886</v>
      </c>
      <c r="C2" s="7" t="s">
        <v>887</v>
      </c>
    </row>
    <row r="3" spans="1:3" ht="63.95">
      <c r="A3" t="s">
        <v>888</v>
      </c>
      <c r="B3" t="s">
        <v>889</v>
      </c>
      <c r="C3" s="7" t="s">
        <v>890</v>
      </c>
    </row>
    <row r="4" spans="1:3" ht="111.95">
      <c r="A4" t="s">
        <v>891</v>
      </c>
      <c r="B4" t="s">
        <v>892</v>
      </c>
      <c r="C4" s="7" t="s">
        <v>893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9ED5F-8E57-D848-9959-88CAD652382D}">
  <dimension ref="A1:A35"/>
  <sheetViews>
    <sheetView zoomScale="187" workbookViewId="0">
      <selection activeCell="B7" sqref="B7"/>
    </sheetView>
  </sheetViews>
  <sheetFormatPr defaultColWidth="11.42578125" defaultRowHeight="15"/>
  <sheetData>
    <row r="1" spans="1:1">
      <c r="A1" t="s">
        <v>894</v>
      </c>
    </row>
    <row r="2" spans="1:1">
      <c r="A2" t="s">
        <v>895</v>
      </c>
    </row>
    <row r="3" spans="1:1">
      <c r="A3" t="s">
        <v>896</v>
      </c>
    </row>
    <row r="4" spans="1:1">
      <c r="A4" t="s">
        <v>897</v>
      </c>
    </row>
    <row r="5" spans="1:1">
      <c r="A5" t="s">
        <v>898</v>
      </c>
    </row>
    <row r="6" spans="1:1">
      <c r="A6" t="s">
        <v>899</v>
      </c>
    </row>
    <row r="7" spans="1:1">
      <c r="A7" t="s">
        <v>900</v>
      </c>
    </row>
    <row r="8" spans="1:1">
      <c r="A8" t="s">
        <v>901</v>
      </c>
    </row>
    <row r="9" spans="1:1">
      <c r="A9" t="s">
        <v>902</v>
      </c>
    </row>
    <row r="10" spans="1:1">
      <c r="A10" t="s">
        <v>903</v>
      </c>
    </row>
    <row r="11" spans="1:1">
      <c r="A11" t="s">
        <v>904</v>
      </c>
    </row>
    <row r="12" spans="1:1">
      <c r="A12" t="s">
        <v>905</v>
      </c>
    </row>
    <row r="13" spans="1:1">
      <c r="A13" t="s">
        <v>906</v>
      </c>
    </row>
    <row r="14" spans="1:1">
      <c r="A14" t="s">
        <v>907</v>
      </c>
    </row>
    <row r="15" spans="1:1">
      <c r="A15" t="s">
        <v>908</v>
      </c>
    </row>
    <row r="16" spans="1:1">
      <c r="A16" t="s">
        <v>909</v>
      </c>
    </row>
    <row r="17" spans="1:1">
      <c r="A17" t="s">
        <v>910</v>
      </c>
    </row>
    <row r="18" spans="1:1">
      <c r="A18" t="s">
        <v>911</v>
      </c>
    </row>
    <row r="19" spans="1:1">
      <c r="A19" t="s">
        <v>62</v>
      </c>
    </row>
    <row r="20" spans="1:1">
      <c r="A20" t="s">
        <v>912</v>
      </c>
    </row>
    <row r="21" spans="1:1">
      <c r="A21" t="s">
        <v>913</v>
      </c>
    </row>
    <row r="22" spans="1:1">
      <c r="A22" t="s">
        <v>914</v>
      </c>
    </row>
    <row r="23" spans="1:1">
      <c r="A23" t="s">
        <v>915</v>
      </c>
    </row>
    <row r="24" spans="1:1">
      <c r="A24" t="s">
        <v>916</v>
      </c>
    </row>
    <row r="25" spans="1:1">
      <c r="A25" t="s">
        <v>917</v>
      </c>
    </row>
    <row r="26" spans="1:1">
      <c r="A26" t="s">
        <v>918</v>
      </c>
    </row>
    <row r="27" spans="1:1">
      <c r="A27" t="s">
        <v>919</v>
      </c>
    </row>
    <row r="28" spans="1:1">
      <c r="A28" t="s">
        <v>920</v>
      </c>
    </row>
    <row r="29" spans="1:1">
      <c r="A29" t="s">
        <v>921</v>
      </c>
    </row>
    <row r="30" spans="1:1">
      <c r="A30" t="s">
        <v>922</v>
      </c>
    </row>
    <row r="31" spans="1:1">
      <c r="A31" t="s">
        <v>923</v>
      </c>
    </row>
    <row r="32" spans="1:1">
      <c r="A32" t="s">
        <v>924</v>
      </c>
    </row>
    <row r="33" spans="1:1">
      <c r="A33" t="s">
        <v>925</v>
      </c>
    </row>
    <row r="34" spans="1:1">
      <c r="A34" t="s">
        <v>926</v>
      </c>
    </row>
    <row r="35" spans="1:1">
      <c r="A35" t="s">
        <v>927</v>
      </c>
    </row>
  </sheetData>
  <pageMargins left="0.7" right="0.7" top="0.75" bottom="0.75" header="0.3" footer="0.3"/>
  <pageSetup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6723E-A2F9-C347-BF43-524210F00CB5}">
  <dimension ref="A1:C10"/>
  <sheetViews>
    <sheetView zoomScale="150" workbookViewId="0">
      <selection activeCell="B10" sqref="B10"/>
    </sheetView>
  </sheetViews>
  <sheetFormatPr defaultColWidth="11.42578125" defaultRowHeight="15"/>
  <cols>
    <col min="1" max="1" width="16.42578125" bestFit="1" customWidth="1"/>
    <col min="2" max="2" width="92.28515625" customWidth="1"/>
  </cols>
  <sheetData>
    <row r="1" spans="1:3" s="3" customFormat="1">
      <c r="A1" s="3" t="s">
        <v>928</v>
      </c>
      <c r="B1" s="3" t="s">
        <v>929</v>
      </c>
      <c r="C1" s="3" t="s">
        <v>930</v>
      </c>
    </row>
    <row r="2" spans="1:3">
      <c r="A2" t="s">
        <v>931</v>
      </c>
      <c r="B2" t="s">
        <v>932</v>
      </c>
      <c r="C2" t="s">
        <v>933</v>
      </c>
    </row>
    <row r="3" spans="1:3">
      <c r="A3" t="s">
        <v>931</v>
      </c>
      <c r="B3" t="s">
        <v>934</v>
      </c>
      <c r="C3" t="s">
        <v>935</v>
      </c>
    </row>
    <row r="4" spans="1:3">
      <c r="A4" t="s">
        <v>931</v>
      </c>
      <c r="B4" t="s">
        <v>936</v>
      </c>
      <c r="C4" t="s">
        <v>937</v>
      </c>
    </row>
    <row r="5" spans="1:3">
      <c r="A5" t="s">
        <v>931</v>
      </c>
      <c r="B5" t="s">
        <v>938</v>
      </c>
      <c r="C5" t="s">
        <v>939</v>
      </c>
    </row>
    <row r="6" spans="1:3">
      <c r="A6" t="s">
        <v>931</v>
      </c>
      <c r="B6" t="s">
        <v>940</v>
      </c>
      <c r="C6" t="s">
        <v>941</v>
      </c>
    </row>
    <row r="8" spans="1:3">
      <c r="A8" t="s">
        <v>942</v>
      </c>
      <c r="B8" t="s">
        <v>943</v>
      </c>
      <c r="C8" t="s">
        <v>944</v>
      </c>
    </row>
    <row r="9" spans="1:3">
      <c r="A9" t="s">
        <v>942</v>
      </c>
      <c r="B9" t="s">
        <v>945</v>
      </c>
      <c r="C9" t="s">
        <v>935</v>
      </c>
    </row>
    <row r="10" spans="1:3">
      <c r="A10" t="s">
        <v>942</v>
      </c>
      <c r="B10" t="s">
        <v>946</v>
      </c>
      <c r="C10" t="s">
        <v>941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Nasdaq</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Eugenia Bornacini</dc:creator>
  <cp:keywords/>
  <dc:description/>
  <cp:lastModifiedBy>Eugenia Bornacini</cp:lastModifiedBy>
  <cp:revision/>
  <dcterms:created xsi:type="dcterms:W3CDTF">2023-06-26T19:32:12Z</dcterms:created>
  <dcterms:modified xsi:type="dcterms:W3CDTF">2023-11-06T14:51:12Z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e078b99-12c6-4836-b834-a2f444a258f5_Enabled">
    <vt:lpwstr>true</vt:lpwstr>
  </property>
  <property fmtid="{D5CDD505-2E9C-101B-9397-08002B2CF9AE}" pid="3" name="MSIP_Label_5e078b99-12c6-4836-b834-a2f444a258f5_SetDate">
    <vt:lpwstr>2023-06-26T19:35:06Z</vt:lpwstr>
  </property>
  <property fmtid="{D5CDD505-2E9C-101B-9397-08002B2CF9AE}" pid="4" name="MSIP_Label_5e078b99-12c6-4836-b834-a2f444a258f5_Method">
    <vt:lpwstr>Standard</vt:lpwstr>
  </property>
  <property fmtid="{D5CDD505-2E9C-101B-9397-08002B2CF9AE}" pid="5" name="MSIP_Label_5e078b99-12c6-4836-b834-a2f444a258f5_Name">
    <vt:lpwstr>Nasdaq Proprietary​</vt:lpwstr>
  </property>
  <property fmtid="{D5CDD505-2E9C-101B-9397-08002B2CF9AE}" pid="6" name="MSIP_Label_5e078b99-12c6-4836-b834-a2f444a258f5_SiteId">
    <vt:lpwstr>d0b75e95-684a-45e3-8d2d-53fa2a6a513f</vt:lpwstr>
  </property>
  <property fmtid="{D5CDD505-2E9C-101B-9397-08002B2CF9AE}" pid="7" name="MSIP_Label_5e078b99-12c6-4836-b834-a2f444a258f5_ActionId">
    <vt:lpwstr>e938a502-0515-4181-80b6-ea185976b24f</vt:lpwstr>
  </property>
  <property fmtid="{D5CDD505-2E9C-101B-9397-08002B2CF9AE}" pid="8" name="MSIP_Label_5e078b99-12c6-4836-b834-a2f444a258f5_ContentBits">
    <vt:lpwstr>2</vt:lpwstr>
  </property>
</Properties>
</file>